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aniltd-my.sharepoint.com/personal/30019181_adani_com/Documents/10. Miscellaneous/Notes/Growth Plan/Khavda Connectivity/Growth Plan Share Files/"/>
    </mc:Choice>
  </mc:AlternateContent>
  <xr:revisionPtr revIDLastSave="6" documentId="8_{E43B341A-FF92-4E51-B6C8-530C147C2C7C}" xr6:coauthVersionLast="47" xr6:coauthVersionMax="47" xr10:uidLastSave="{839091A9-7E66-4A80-BFF4-6A963F7B8C98}"/>
  <bookViews>
    <workbookView xWindow="-108" yWindow="-108" windowWidth="23256" windowHeight="12456" activeTab="1" xr2:uid="{C554FF4B-C650-46FE-A984-C47EAEA583D5}"/>
  </bookViews>
  <sheets>
    <sheet name="Khavda" sheetId="1" r:id="rId1"/>
    <sheet name="Non Khavda" sheetId="2" r:id="rId2"/>
  </sheets>
  <definedNames>
    <definedName name="_xlnm._FilterDatabase" localSheetId="0" hidden="1">Khavda!$A$3:$U$232</definedName>
    <definedName name="_xlnm._FilterDatabase" localSheetId="1" hidden="1">'Non Khavda'!$A$2:$M$48</definedName>
    <definedName name="_xlnm.Print_Area" localSheetId="0">Khavda!$A$1:$T$219</definedName>
    <definedName name="_xlnm.Print_Area" localSheetId="1">'Non Khavda'!$A$1:$L$47</definedName>
    <definedName name="_xlnm.Print_Titles" localSheetId="0">Khavda!$1:$3</definedName>
    <definedName name="_xlnm.Print_Titles" localSheetId="1">'Non Khavda'!$1:$1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2" l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M48" i="2"/>
  <c r="E48" i="2"/>
  <c r="M47" i="2"/>
  <c r="E47" i="2"/>
  <c r="M46" i="2"/>
  <c r="M45" i="2"/>
  <c r="M44" i="2"/>
  <c r="M43" i="2"/>
  <c r="M42" i="2"/>
  <c r="G42" i="2"/>
  <c r="M41" i="2"/>
  <c r="G41" i="2"/>
  <c r="M40" i="2"/>
  <c r="M39" i="2"/>
  <c r="G39" i="2"/>
  <c r="M38" i="2"/>
  <c r="G38" i="2"/>
  <c r="M37" i="2"/>
  <c r="G37" i="2"/>
  <c r="M36" i="2"/>
  <c r="G36" i="2"/>
  <c r="M35" i="2"/>
  <c r="G35" i="2"/>
  <c r="E35" i="2"/>
  <c r="M34" i="2"/>
  <c r="G34" i="2"/>
  <c r="M33" i="2"/>
  <c r="G33" i="2"/>
  <c r="M32" i="2"/>
  <c r="G32" i="2"/>
  <c r="M31" i="2"/>
  <c r="G31" i="2"/>
  <c r="M30" i="2"/>
  <c r="G30" i="2"/>
  <c r="M29" i="2"/>
  <c r="G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A4" i="2"/>
  <c r="A5" i="2" s="1"/>
  <c r="A6" i="2" s="1"/>
  <c r="A7" i="2" s="1"/>
  <c r="A8" i="2" s="1"/>
  <c r="M3" i="2"/>
  <c r="U230" i="1"/>
  <c r="H230" i="1"/>
  <c r="U229" i="1"/>
  <c r="H229" i="1"/>
  <c r="U227" i="1"/>
  <c r="H227" i="1"/>
  <c r="U226" i="1"/>
  <c r="H226" i="1"/>
  <c r="E232" i="1"/>
  <c r="U224" i="1"/>
  <c r="G224" i="1"/>
  <c r="U223" i="1"/>
  <c r="G223" i="1"/>
  <c r="U222" i="1"/>
  <c r="H222" i="1"/>
  <c r="U221" i="1"/>
  <c r="H221" i="1"/>
  <c r="F219" i="1"/>
  <c r="E219" i="1"/>
  <c r="U217" i="1"/>
  <c r="H217" i="1"/>
  <c r="U216" i="1"/>
  <c r="H216" i="1"/>
  <c r="U215" i="1"/>
  <c r="U214" i="1"/>
  <c r="G214" i="1"/>
  <c r="U213" i="1"/>
  <c r="G213" i="1"/>
  <c r="U212" i="1"/>
  <c r="U211" i="1"/>
  <c r="U210" i="1"/>
  <c r="U209" i="1"/>
  <c r="G209" i="1"/>
  <c r="U208" i="1"/>
  <c r="U207" i="1"/>
  <c r="U205" i="1"/>
  <c r="G205" i="1"/>
  <c r="U204" i="1"/>
  <c r="G204" i="1"/>
  <c r="U203" i="1"/>
  <c r="G203" i="1"/>
  <c r="U202" i="1"/>
  <c r="H202" i="1"/>
  <c r="U201" i="1"/>
  <c r="H201" i="1"/>
  <c r="U200" i="1"/>
  <c r="H200" i="1"/>
  <c r="U199" i="1"/>
  <c r="G199" i="1"/>
  <c r="U198" i="1"/>
  <c r="G198" i="1"/>
  <c r="U197" i="1"/>
  <c r="G197" i="1"/>
  <c r="U196" i="1"/>
  <c r="G196" i="1"/>
  <c r="U194" i="1"/>
  <c r="U193" i="1"/>
  <c r="U192" i="1"/>
  <c r="U191" i="1"/>
  <c r="H191" i="1"/>
  <c r="U190" i="1"/>
  <c r="H190" i="1"/>
  <c r="U189" i="1"/>
  <c r="U188" i="1"/>
  <c r="U187" i="1"/>
  <c r="U186" i="1"/>
  <c r="U185" i="1"/>
  <c r="U184" i="1"/>
  <c r="U183" i="1"/>
  <c r="U182" i="1"/>
  <c r="U181" i="1"/>
  <c r="U180" i="1"/>
  <c r="U179" i="1"/>
  <c r="U177" i="1"/>
  <c r="H177" i="1"/>
  <c r="U176" i="1"/>
  <c r="H176" i="1"/>
  <c r="U175" i="1"/>
  <c r="H175" i="1"/>
  <c r="U174" i="1"/>
  <c r="U173" i="1"/>
  <c r="U172" i="1"/>
  <c r="U171" i="1"/>
  <c r="U170" i="1"/>
  <c r="U169" i="1"/>
  <c r="U168" i="1"/>
  <c r="U167" i="1"/>
  <c r="U163" i="1"/>
  <c r="U162" i="1"/>
  <c r="U161" i="1"/>
  <c r="U159" i="1"/>
  <c r="U157" i="1"/>
  <c r="H157" i="1"/>
  <c r="U156" i="1"/>
  <c r="H156" i="1"/>
  <c r="U154" i="1"/>
  <c r="H154" i="1"/>
  <c r="U153" i="1"/>
  <c r="H153" i="1"/>
  <c r="U152" i="1"/>
  <c r="H152" i="1"/>
  <c r="U151" i="1"/>
  <c r="H151" i="1"/>
  <c r="U149" i="1"/>
  <c r="H149" i="1"/>
  <c r="U148" i="1"/>
  <c r="H148" i="1"/>
  <c r="U146" i="1"/>
  <c r="G146" i="1"/>
  <c r="U145" i="1"/>
  <c r="G145" i="1"/>
  <c r="U144" i="1"/>
  <c r="G144" i="1"/>
  <c r="U143" i="1"/>
  <c r="G143" i="1"/>
  <c r="U142" i="1"/>
  <c r="G142" i="1"/>
  <c r="U140" i="1"/>
  <c r="H140" i="1"/>
  <c r="U138" i="1"/>
  <c r="H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3" i="1"/>
  <c r="U122" i="1"/>
  <c r="U121" i="1"/>
  <c r="U120" i="1"/>
  <c r="U118" i="1"/>
  <c r="H118" i="1"/>
  <c r="U117" i="1"/>
  <c r="H117" i="1"/>
  <c r="U116" i="1"/>
  <c r="H116" i="1"/>
  <c r="U115" i="1"/>
  <c r="H115" i="1"/>
  <c r="U114" i="1"/>
  <c r="H114" i="1"/>
  <c r="U113" i="1"/>
  <c r="H113" i="1"/>
  <c r="U112" i="1"/>
  <c r="H112" i="1"/>
  <c r="U111" i="1"/>
  <c r="U110" i="1"/>
  <c r="H110" i="1"/>
  <c r="U109" i="1"/>
  <c r="H109" i="1"/>
  <c r="U108" i="1"/>
  <c r="U107" i="1"/>
  <c r="U106" i="1"/>
  <c r="H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E92" i="1"/>
  <c r="E165" i="1" s="1"/>
  <c r="G91" i="1"/>
  <c r="F91" i="1"/>
  <c r="U90" i="1"/>
  <c r="H90" i="1"/>
  <c r="H91" i="1" s="1"/>
  <c r="U89" i="1"/>
  <c r="H89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1" i="1"/>
  <c r="H71" i="1"/>
  <c r="U69" i="1"/>
  <c r="H69" i="1"/>
  <c r="U68" i="1"/>
  <c r="H68" i="1"/>
  <c r="U66" i="1"/>
  <c r="U65" i="1"/>
  <c r="U64" i="1"/>
  <c r="U63" i="1"/>
  <c r="U62" i="1"/>
  <c r="U61" i="1"/>
  <c r="H61" i="1"/>
  <c r="U60" i="1"/>
  <c r="H60" i="1"/>
  <c r="U59" i="1"/>
  <c r="H59" i="1"/>
  <c r="U58" i="1"/>
  <c r="U57" i="1"/>
  <c r="U56" i="1"/>
  <c r="H56" i="1"/>
  <c r="U55" i="1"/>
  <c r="U54" i="1"/>
  <c r="U53" i="1"/>
  <c r="H53" i="1"/>
  <c r="U52" i="1"/>
  <c r="U51" i="1"/>
  <c r="U49" i="1"/>
  <c r="U48" i="1"/>
  <c r="U47" i="1"/>
  <c r="G47" i="1"/>
  <c r="F47" i="1"/>
  <c r="U46" i="1"/>
  <c r="U45" i="1"/>
  <c r="U43" i="1"/>
  <c r="U42" i="1"/>
  <c r="U41" i="1"/>
  <c r="U40" i="1"/>
  <c r="U39" i="1"/>
  <c r="H39" i="1"/>
  <c r="U38" i="1"/>
  <c r="H38" i="1"/>
  <c r="U37" i="1"/>
  <c r="U36" i="1"/>
  <c r="U35" i="1"/>
  <c r="U34" i="1"/>
  <c r="U33" i="1"/>
  <c r="A33" i="1"/>
  <c r="A45" i="1" s="1"/>
  <c r="A51" i="1" s="1"/>
  <c r="A68" i="1" s="1"/>
  <c r="A71" i="1" s="1"/>
  <c r="A73" i="1" s="1"/>
  <c r="A89" i="1" s="1"/>
  <c r="A92" i="1" s="1"/>
  <c r="A120" i="1" s="1"/>
  <c r="A125" i="1" s="1"/>
  <c r="A140" i="1" s="1"/>
  <c r="A142" i="1" s="1"/>
  <c r="A148" i="1" s="1"/>
  <c r="A151" i="1" s="1"/>
  <c r="A156" i="1" s="1"/>
  <c r="A159" i="1" s="1"/>
  <c r="A161" i="1" s="1"/>
  <c r="U31" i="1"/>
  <c r="U30" i="1"/>
  <c r="U29" i="1"/>
  <c r="U28" i="1"/>
  <c r="U26" i="1"/>
  <c r="U25" i="1"/>
  <c r="U24" i="1"/>
  <c r="U23" i="1"/>
  <c r="U22" i="1"/>
  <c r="U21" i="1"/>
  <c r="U19" i="1"/>
  <c r="U18" i="1"/>
  <c r="U17" i="1"/>
  <c r="U16" i="1"/>
  <c r="U14" i="1"/>
  <c r="U13" i="1"/>
  <c r="U12" i="1"/>
  <c r="U11" i="1"/>
  <c r="U10" i="1"/>
  <c r="U9" i="1"/>
  <c r="U8" i="1"/>
  <c r="U7" i="1"/>
  <c r="U6" i="1"/>
  <c r="U5" i="1"/>
  <c r="F232" i="1" l="1"/>
  <c r="H232" i="1"/>
  <c r="G165" i="1"/>
  <c r="G219" i="1"/>
  <c r="H165" i="1"/>
  <c r="F165" i="1"/>
  <c r="A44" i="2"/>
  <c r="A45" i="2" s="1"/>
  <c r="A46" i="2" s="1"/>
  <c r="A47" i="2" s="1"/>
  <c r="A48" i="2" s="1"/>
  <c r="G232" i="1"/>
  <c r="H219" i="1"/>
</calcChain>
</file>

<file path=xl/sharedStrings.xml><?xml version="1.0" encoding="utf-8"?>
<sst xmlns="http://schemas.openxmlformats.org/spreadsheetml/2006/main" count="2387" uniqueCount="294">
  <si>
    <t>#</t>
  </si>
  <si>
    <t>KPS</t>
  </si>
  <si>
    <t xml:space="preserve"> </t>
  </si>
  <si>
    <t>Voltage</t>
  </si>
  <si>
    <t>Connectivity MW</t>
  </si>
  <si>
    <t>Connectivity Breakup</t>
  </si>
  <si>
    <t>Solar</t>
  </si>
  <si>
    <t>Wind</t>
  </si>
  <si>
    <t>Connectivity Phase</t>
  </si>
  <si>
    <t>Likey start date of connectivity</t>
  </si>
  <si>
    <t>Project</t>
  </si>
  <si>
    <t>SPV</t>
  </si>
  <si>
    <t>Block</t>
  </si>
  <si>
    <t>PSS</t>
  </si>
  <si>
    <t>Module</t>
  </si>
  <si>
    <t>MMS</t>
  </si>
  <si>
    <t>SCOD</t>
  </si>
  <si>
    <t>ECOD</t>
  </si>
  <si>
    <t>Financing</t>
  </si>
  <si>
    <t>EPC Partner</t>
  </si>
  <si>
    <t>Qtr</t>
  </si>
  <si>
    <t>AGEL PARK</t>
  </si>
  <si>
    <t>KPS-1</t>
  </si>
  <si>
    <t>AGEL</t>
  </si>
  <si>
    <t>400kV</t>
  </si>
  <si>
    <t>Phase - I</t>
  </si>
  <si>
    <t>MLP T1  PPA - J&amp;K</t>
  </si>
  <si>
    <t>AGE26AL</t>
  </si>
  <si>
    <t>A16</t>
  </si>
  <si>
    <t>PSS-06</t>
  </si>
  <si>
    <t>SEA</t>
  </si>
  <si>
    <t>FT</t>
  </si>
  <si>
    <t>PFC -3</t>
  </si>
  <si>
    <t>MLP T1  PPA - CG</t>
  </si>
  <si>
    <t>MLP T1  PPA - TN</t>
  </si>
  <si>
    <t>MLP T1  PPA - OR</t>
  </si>
  <si>
    <t>TBD</t>
  </si>
  <si>
    <t>ALCM</t>
  </si>
  <si>
    <t>HSAT</t>
  </si>
  <si>
    <t>-</t>
  </si>
  <si>
    <t>Unallocated</t>
  </si>
  <si>
    <t>MLP T4 PPA - AP</t>
  </si>
  <si>
    <t>AGE26BL</t>
  </si>
  <si>
    <t>A3</t>
  </si>
  <si>
    <t>China</t>
  </si>
  <si>
    <t>REC</t>
  </si>
  <si>
    <t>Bondada</t>
  </si>
  <si>
    <t>Phase - II</t>
  </si>
  <si>
    <t>AGE24L</t>
  </si>
  <si>
    <t>Canara</t>
  </si>
  <si>
    <t>Hild</t>
  </si>
  <si>
    <t>A4</t>
  </si>
  <si>
    <t>PSS-02</t>
  </si>
  <si>
    <t>REC 1 (REC 2)</t>
  </si>
  <si>
    <t>A4/A7</t>
  </si>
  <si>
    <t>Phase - III</t>
  </si>
  <si>
    <t>MLP T3 PPA - AP</t>
  </si>
  <si>
    <t>AGE25AL</t>
  </si>
  <si>
    <t>A7</t>
  </si>
  <si>
    <t>EM 3</t>
  </si>
  <si>
    <t>AGE25BL</t>
  </si>
  <si>
    <t>PFC 1</t>
  </si>
  <si>
    <t>MLP  PPA - AP New</t>
  </si>
  <si>
    <t>MLP T2 PPA - AP</t>
  </si>
  <si>
    <t>AGE24AL</t>
  </si>
  <si>
    <t>A5</t>
  </si>
  <si>
    <t>PSS-01</t>
  </si>
  <si>
    <t>REC 1</t>
  </si>
  <si>
    <t>AGE24BL</t>
  </si>
  <si>
    <t>A8</t>
  </si>
  <si>
    <t>SECI H-3 PPA</t>
  </si>
  <si>
    <t>AHEJ5L</t>
  </si>
  <si>
    <t>A13</t>
  </si>
  <si>
    <t>PSS-05</t>
  </si>
  <si>
    <t>LTA</t>
  </si>
  <si>
    <t>SBI</t>
  </si>
  <si>
    <t>A13, A14, A17</t>
  </si>
  <si>
    <t>AGEL Merchant - TTE IM2 (Solar)</t>
  </si>
  <si>
    <t>ARE45L</t>
  </si>
  <si>
    <t>A14</t>
  </si>
  <si>
    <t>ALMM</t>
  </si>
  <si>
    <t>SM 2</t>
  </si>
  <si>
    <t>AGEL Merchant (Solar)</t>
  </si>
  <si>
    <t>NABFID</t>
  </si>
  <si>
    <t>Phase - V</t>
  </si>
  <si>
    <t>AGEL Merchant (Solar) - TTE</t>
  </si>
  <si>
    <t>ARE64LS2REL</t>
  </si>
  <si>
    <t>A17</t>
  </si>
  <si>
    <r>
      <rPr>
        <b/>
        <strike/>
        <sz val="10"/>
        <color theme="1"/>
        <rFont val="Adani Regular"/>
      </rPr>
      <t>ARE55L</t>
    </r>
    <r>
      <rPr>
        <b/>
        <sz val="10"/>
        <color theme="1"/>
        <rFont val="Adani Regular"/>
      </rPr>
      <t xml:space="preserve">
TBD</t>
    </r>
  </si>
  <si>
    <t>LTA+15 Days</t>
  </si>
  <si>
    <t>ARE56L</t>
  </si>
  <si>
    <t>A2</t>
  </si>
  <si>
    <t>PSS-04</t>
  </si>
  <si>
    <t>REC 3</t>
  </si>
  <si>
    <t>AESL PPA (C&amp;I) - Wind - RSWM</t>
  </si>
  <si>
    <t>ARE41L</t>
  </si>
  <si>
    <t>A16, NHPC, A1,A3</t>
  </si>
  <si>
    <t>PFC</t>
  </si>
  <si>
    <t>AESL PPA (C&amp;I) - Solar</t>
  </si>
  <si>
    <t>A1</t>
  </si>
  <si>
    <t>Group - Port (Hybrid - Solar)</t>
  </si>
  <si>
    <t>APSEZ</t>
  </si>
  <si>
    <t>Group - Port (Hybrid - Wind)</t>
  </si>
  <si>
    <t>A1, A2, A3, A4, A5, NHPC</t>
  </si>
  <si>
    <t>Group - Cement (Hybrid - Solar)</t>
  </si>
  <si>
    <t>ACL</t>
  </si>
  <si>
    <t>Group - Cement (Hybrid - Wind)</t>
  </si>
  <si>
    <t>Amara Raja</t>
  </si>
  <si>
    <t>MSEDCL PPA Ph-1</t>
  </si>
  <si>
    <t>ARE55L</t>
  </si>
  <si>
    <t>TPL-D PPA</t>
  </si>
  <si>
    <t>ARE8L</t>
  </si>
  <si>
    <t>Yes Bank</t>
  </si>
  <si>
    <t>PTSL PPA - AEML RTC - Wind</t>
  </si>
  <si>
    <t>AGEL Merchant (Wind)</t>
  </si>
  <si>
    <t>Group - Cement (Solar)</t>
  </si>
  <si>
    <t>A9</t>
  </si>
  <si>
    <t>PSS-03</t>
  </si>
  <si>
    <t>Group - Port (Solar)</t>
  </si>
  <si>
    <t>Group - Port (Hybrid)</t>
  </si>
  <si>
    <t>A10</t>
  </si>
  <si>
    <t>PTSL PPA - AEML RTC - Solar</t>
  </si>
  <si>
    <t>AGE25CL</t>
  </si>
  <si>
    <t>REC 4</t>
  </si>
  <si>
    <t>AESL PPA (C&amp;I) - Solar- RSWM</t>
  </si>
  <si>
    <t>ASEJ6L</t>
  </si>
  <si>
    <t>Axis/NABARD</t>
  </si>
  <si>
    <t>ARE57L</t>
  </si>
  <si>
    <t>EM 3.1</t>
  </si>
  <si>
    <t>PFC- W</t>
  </si>
  <si>
    <t>A10b</t>
  </si>
  <si>
    <t>MLP T1 TR</t>
  </si>
  <si>
    <t>A10a</t>
  </si>
  <si>
    <t>LTA  - 23 Days</t>
  </si>
  <si>
    <t>A5, A8, A4, A7, A9, A10</t>
  </si>
  <si>
    <t>PFC Wind 260</t>
  </si>
  <si>
    <t>KPS-3</t>
  </si>
  <si>
    <t>A6c</t>
  </si>
  <si>
    <t>PSS-08</t>
  </si>
  <si>
    <t>A15a</t>
  </si>
  <si>
    <t>KPI</t>
  </si>
  <si>
    <t>A15b</t>
  </si>
  <si>
    <t>S&amp;W</t>
  </si>
  <si>
    <t>Group - Copper (Solar)</t>
  </si>
  <si>
    <t>KCTL</t>
  </si>
  <si>
    <t>MCIPL</t>
  </si>
  <si>
    <t xml:space="preserve">AGEL Merchant (Solar) </t>
  </si>
  <si>
    <t>Axis</t>
  </si>
  <si>
    <t>AGEL Hybrid Merchant (Wind)</t>
  </si>
  <si>
    <t>A15, A6</t>
  </si>
  <si>
    <t>TCCL</t>
  </si>
  <si>
    <t>A6</t>
  </si>
  <si>
    <t>Adani Connex PPA - Google (Hybrid - Wind)</t>
  </si>
  <si>
    <t>ARE3L</t>
  </si>
  <si>
    <t>A18, A15. NHPC</t>
  </si>
  <si>
    <t>Adani Connex PPA - Google (Hybrid - Solar)</t>
  </si>
  <si>
    <t>NHPC, A15,A16, A6, A18</t>
  </si>
  <si>
    <t>S9</t>
  </si>
  <si>
    <t>PSS-07</t>
  </si>
  <si>
    <t>MSEDCL PPA Ph-2</t>
  </si>
  <si>
    <t>A18</t>
  </si>
  <si>
    <t>MSEDCL PPA Ph-3</t>
  </si>
  <si>
    <t>S10</t>
  </si>
  <si>
    <t>ECB</t>
  </si>
  <si>
    <t>Jakson</t>
  </si>
  <si>
    <t>A11</t>
  </si>
  <si>
    <t>PSS-13</t>
  </si>
  <si>
    <t>A12</t>
  </si>
  <si>
    <t>A11, A12, A7, A10</t>
  </si>
  <si>
    <t>PSS-14</t>
  </si>
  <si>
    <t>L&amp;T</t>
  </si>
  <si>
    <t>ARE64LS1REL</t>
  </si>
  <si>
    <t>SE16</t>
  </si>
  <si>
    <t>SE14</t>
  </si>
  <si>
    <t>SE13, SE14, SE15, SE16</t>
  </si>
  <si>
    <t>A18, S10</t>
  </si>
  <si>
    <t>SE10, SE11, SE12, SE14</t>
  </si>
  <si>
    <t>KPS-4</t>
  </si>
  <si>
    <t>Phase - IV</t>
  </si>
  <si>
    <t>NHPC EPC 600</t>
  </si>
  <si>
    <t>NA</t>
  </si>
  <si>
    <t>NHPC</t>
  </si>
  <si>
    <t>DCR</t>
  </si>
  <si>
    <t>KPS-5</t>
  </si>
  <si>
    <t>KPS-6</t>
  </si>
  <si>
    <t>SARJAN PARK</t>
  </si>
  <si>
    <t>SRPL</t>
  </si>
  <si>
    <t>SECI VIII PPA</t>
  </si>
  <si>
    <t>S7</t>
  </si>
  <si>
    <t>PSS-09</t>
  </si>
  <si>
    <t>LTA + 30D</t>
  </si>
  <si>
    <t>Enrich</t>
  </si>
  <si>
    <t>KPI Green</t>
  </si>
  <si>
    <t>S8</t>
  </si>
  <si>
    <t>AESL PPA (C&amp;I) - Asahi, Wilmar, Nestle</t>
  </si>
  <si>
    <t>S7, S8</t>
  </si>
  <si>
    <t>AESL PPA (C&amp;I) - Asahi, Wilmar, Airport, Shantigram</t>
  </si>
  <si>
    <t>AESL PPA (C&amp;I) - Asahi, Wilmar, Airport</t>
  </si>
  <si>
    <t>MLP T1  PPA - BEST</t>
  </si>
  <si>
    <t>S6-A</t>
  </si>
  <si>
    <t>PSS-10</t>
  </si>
  <si>
    <t>LTA + 56D</t>
  </si>
  <si>
    <t>S6-B</t>
  </si>
  <si>
    <t>S5</t>
  </si>
  <si>
    <t>REC 2</t>
  </si>
  <si>
    <t>S5, S6, A10, S4</t>
  </si>
  <si>
    <t>S3</t>
  </si>
  <si>
    <t>PSS-11</t>
  </si>
  <si>
    <t>Group - PVC (Solar)</t>
  </si>
  <si>
    <t>MPL</t>
  </si>
  <si>
    <t>S2, S3, S4, A11, A12</t>
  </si>
  <si>
    <t>S4</t>
  </si>
  <si>
    <t>AEML RTC - Solar</t>
  </si>
  <si>
    <t>KCL</t>
  </si>
  <si>
    <t>S4a</t>
  </si>
  <si>
    <t>S1</t>
  </si>
  <si>
    <t>PSS-12</t>
  </si>
  <si>
    <t>S2b</t>
  </si>
  <si>
    <t>S2a</t>
  </si>
  <si>
    <t>S2</t>
  </si>
  <si>
    <t>S1, S2, S9, S10</t>
  </si>
  <si>
    <t>APL PARK</t>
  </si>
  <si>
    <t>APL</t>
  </si>
  <si>
    <t>Phase - VI</t>
  </si>
  <si>
    <t>ASEJ2L</t>
  </si>
  <si>
    <t>PSS-18</t>
  </si>
  <si>
    <t>MLP LOA</t>
  </si>
  <si>
    <t>SE13, SE15</t>
  </si>
  <si>
    <t>PSS-20</t>
  </si>
  <si>
    <t>PSS-15</t>
  </si>
  <si>
    <t xml:space="preserve">Note: Planning for projects from Mar'27 onwards is fluid and likely to go through multiple iterations </t>
  </si>
  <si>
    <t>Projects commissioned till date</t>
  </si>
  <si>
    <t>Projects to be executed in Year 2026-2027</t>
  </si>
  <si>
    <t>Projects to be executed in Year 2027-2028</t>
  </si>
  <si>
    <t>Projects to be executed in Year 2028-2029 and beyond</t>
  </si>
  <si>
    <t>EPC as service contract</t>
  </si>
  <si>
    <t>CTUIL S/s for connectivity</t>
  </si>
  <si>
    <t>Location</t>
  </si>
  <si>
    <t>Connectivity status (Applied/To Be Applied)</t>
  </si>
  <si>
    <t>Project Capacity</t>
  </si>
  <si>
    <t>Period</t>
  </si>
  <si>
    <t>Bhadla - I</t>
  </si>
  <si>
    <t>Essel Park</t>
  </si>
  <si>
    <t>Granted</t>
  </si>
  <si>
    <t>SECI V Solar PPA</t>
  </si>
  <si>
    <t>ASERJ2PL</t>
  </si>
  <si>
    <t>Group - Cement</t>
  </si>
  <si>
    <t>Bhadla - II</t>
  </si>
  <si>
    <t>Badi Sid &amp; Kalyan Singh ki sid</t>
  </si>
  <si>
    <t>AGE25L</t>
  </si>
  <si>
    <t>Baap, Ultratech</t>
  </si>
  <si>
    <t>AESL PPA (C&amp;I)</t>
  </si>
  <si>
    <t>Applied</t>
  </si>
  <si>
    <t>Fatehgarh - II</t>
  </si>
  <si>
    <t>Devikot</t>
  </si>
  <si>
    <t>Bhimsar (AREPRL)</t>
  </si>
  <si>
    <t>Fatehgarh - III</t>
  </si>
  <si>
    <t>Baiya</t>
  </si>
  <si>
    <t>NHPC BOO - PPA</t>
  </si>
  <si>
    <t>ASEB1PL</t>
  </si>
  <si>
    <t>SBI 2</t>
  </si>
  <si>
    <t>Ramgarh I</t>
  </si>
  <si>
    <t>Bandha</t>
  </si>
  <si>
    <t>LTA + 60 Days</t>
  </si>
  <si>
    <t>PSPCL PPA</t>
  </si>
  <si>
    <t>ASEAP3L</t>
  </si>
  <si>
    <t>IndusInd/HDFC/ABFL</t>
  </si>
  <si>
    <t>APTransco - Talamanchipalli</t>
  </si>
  <si>
    <t>Kadappa</t>
  </si>
  <si>
    <t>SECI PPA Kadappa</t>
  </si>
  <si>
    <t>ASEAP8PL</t>
  </si>
  <si>
    <t>Navinal</t>
  </si>
  <si>
    <t>Mundra North</t>
  </si>
  <si>
    <t>AWEK3L</t>
  </si>
  <si>
    <t>AREKAL</t>
  </si>
  <si>
    <t>Bhuj II</t>
  </si>
  <si>
    <t>Mandvi</t>
  </si>
  <si>
    <t>AGE32L</t>
  </si>
  <si>
    <t>Ludbay</t>
  </si>
  <si>
    <t>Adipur</t>
  </si>
  <si>
    <t>TBA</t>
  </si>
  <si>
    <t>Bhadla I</t>
  </si>
  <si>
    <t>Bikaner I</t>
  </si>
  <si>
    <t>Hapasar</t>
  </si>
  <si>
    <t>ASEJa2PL</t>
  </si>
  <si>
    <t>Rawra</t>
  </si>
  <si>
    <t>ASEJo2L</t>
  </si>
  <si>
    <t>PTSL PPA - C&amp;I</t>
  </si>
  <si>
    <t>AWEK4L</t>
  </si>
  <si>
    <t>Kutch</t>
  </si>
  <si>
    <t>WFRL</t>
  </si>
  <si>
    <t>Non Khavda</t>
  </si>
  <si>
    <t>RJ+other sites - Project Allocation (04 Sep 2026)</t>
  </si>
  <si>
    <t>Khavda Park - Project Allocation (04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</si>
</sst>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;\-0.00;&quot;-&quot;"/>
    <numFmt numFmtId="165" formatCode="#,##0.0;\-0.000;&quot;-&quot;"/>
    <numFmt numFmtId="166" formatCode="[$-409]dd/mmm/yy;@"/>
    <numFmt numFmtId="167" formatCode="[$-409]mmm/yy;@"/>
    <numFmt numFmtId="168" formatCode="#,##0.0;\-0.00;&quot;-&quot;"/>
    <numFmt numFmtId="169" formatCode="[$-409]d/mmm/yy;@"/>
  </numFmts>
  <fonts count="34">
    <font>
      <sz val="10"/>
      <color theme="1"/>
      <name val="Adani Regular"/>
      <family val="2"/>
    </font>
    <font>
      <sz val="10"/>
      <color theme="1"/>
      <name val="Adani Regular"/>
      <family val="2"/>
    </font>
    <font>
      <sz val="10"/>
      <color rgb="FFFF0000"/>
      <name val="Adani Regular"/>
      <family val="2"/>
    </font>
    <font>
      <b/>
      <sz val="10"/>
      <color theme="1"/>
      <name val="Adani Regular"/>
      <family val="2"/>
    </font>
    <font>
      <b/>
      <sz val="18"/>
      <color theme="0"/>
      <name val="Adani Regular"/>
    </font>
    <font>
      <b/>
      <sz val="10"/>
      <color theme="1"/>
      <name val="Adani Regular"/>
    </font>
    <font>
      <b/>
      <sz val="12"/>
      <color theme="1"/>
      <name val="Adani Regular"/>
    </font>
    <font>
      <b/>
      <sz val="12"/>
      <color theme="1"/>
      <name val="Adani Regular"/>
      <family val="2"/>
    </font>
    <font>
      <sz val="10"/>
      <name val="Adani Regular"/>
    </font>
    <font>
      <sz val="10"/>
      <name val="Adani Regular"/>
      <family val="2"/>
    </font>
    <font>
      <sz val="10"/>
      <color theme="1"/>
      <name val="Adani Regular"/>
    </font>
    <font>
      <sz val="10"/>
      <color theme="8"/>
      <name val="Adani Regular"/>
    </font>
    <font>
      <sz val="10"/>
      <color theme="5" tint="-0.249977111117893"/>
      <name val="Adani Regular"/>
    </font>
    <font>
      <sz val="10"/>
      <color theme="9"/>
      <name val="Adani Regular"/>
      <family val="2"/>
    </font>
    <font>
      <sz val="10"/>
      <color theme="9" tint="0.39997558519241921"/>
      <name val="Adani Regular"/>
      <family val="2"/>
    </font>
    <font>
      <sz val="10"/>
      <color theme="5" tint="-0.249977111117893"/>
      <name val="Adani Regular"/>
      <family val="2"/>
    </font>
    <font>
      <b/>
      <strike/>
      <sz val="10"/>
      <color theme="1"/>
      <name val="Adani Regular"/>
    </font>
    <font>
      <sz val="10"/>
      <color theme="9"/>
      <name val="Adani Regular"/>
    </font>
    <font>
      <b/>
      <sz val="10"/>
      <name val="Adani Regular"/>
    </font>
    <font>
      <sz val="10"/>
      <color theme="9" tint="0.39997558519241921"/>
      <name val="Adani Regular"/>
    </font>
    <font>
      <b/>
      <sz val="10"/>
      <color rgb="FFFF0000"/>
      <name val="Adani Regular"/>
      <family val="2"/>
    </font>
    <font>
      <b/>
      <sz val="10"/>
      <color rgb="FFC00000"/>
      <name val="Adani Regular"/>
    </font>
    <font>
      <sz val="10"/>
      <color theme="8"/>
      <name val="Adani Regular"/>
      <family val="2"/>
    </font>
    <font>
      <b/>
      <sz val="10"/>
      <color theme="5" tint="-0.249977111117893"/>
      <name val="Adani Regular"/>
    </font>
    <font>
      <b/>
      <i/>
      <sz val="10"/>
      <color theme="1"/>
      <name val="Adani Regular"/>
    </font>
    <font>
      <b/>
      <sz val="10"/>
      <name val="Adani Regular"/>
      <family val="2"/>
    </font>
    <font>
      <i/>
      <sz val="10"/>
      <color theme="1"/>
      <name val="Adani Regular"/>
    </font>
    <font>
      <b/>
      <sz val="10"/>
      <color rgb="FFFF0000"/>
      <name val="Adani Regular"/>
    </font>
    <font>
      <b/>
      <sz val="10"/>
      <color theme="8"/>
      <name val="Adani Regular"/>
    </font>
    <font>
      <b/>
      <sz val="10"/>
      <color theme="5" tint="-0.249977111117893"/>
      <name val="Adani Regular"/>
      <family val="2"/>
    </font>
    <font>
      <sz val="10"/>
      <color theme="7"/>
      <name val="Adani Regular"/>
      <family val="2"/>
    </font>
    <font>
      <b/>
      <sz val="18"/>
      <color theme="0"/>
      <name val="Adani Regular"/>
      <family val="2"/>
    </font>
    <font>
      <b/>
      <sz val="8"/>
      <color theme="1"/>
      <name val="Adani Regular"/>
      <family val="2"/>
    </font>
    <font>
      <sz val="10"/>
      <color rgb="FF002060"/>
      <name val="Adani Regular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BFF7C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F2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14999847407452621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Continuous" vertical="center" wrapText="1"/>
    </xf>
    <xf numFmtId="0" fontId="6" fillId="0" borderId="9" xfId="0" applyFont="1" applyBorder="1" applyAlignment="1">
      <alignment horizontal="centerContinuous" vertical="center" wrapText="1"/>
    </xf>
    <xf numFmtId="0" fontId="6" fillId="0" borderId="10" xfId="0" applyFont="1" applyBorder="1" applyAlignment="1">
      <alignment horizontal="centerContinuous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5" fontId="0" fillId="0" borderId="14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65" fontId="8" fillId="3" borderId="15" xfId="0" applyNumberFormat="1" applyFont="1" applyFill="1" applyBorder="1" applyAlignment="1">
      <alignment horizontal="center" vertical="center" wrapText="1"/>
    </xf>
    <xf numFmtId="165" fontId="8" fillId="3" borderId="15" xfId="1" applyNumberFormat="1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7" fontId="8" fillId="3" borderId="15" xfId="0" applyNumberFormat="1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15" fontId="8" fillId="3" borderId="15" xfId="0" applyNumberFormat="1" applyFont="1" applyFill="1" applyBorder="1" applyAlignment="1">
      <alignment horizontal="center" vertical="center" wrapText="1"/>
    </xf>
    <xf numFmtId="17" fontId="8" fillId="3" borderId="16" xfId="0" applyNumberFormat="1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 wrapText="1"/>
    </xf>
    <xf numFmtId="165" fontId="9" fillId="3" borderId="15" xfId="0" applyNumberFormat="1" applyFont="1" applyFill="1" applyBorder="1" applyAlignment="1">
      <alignment horizontal="center" vertical="center" wrapText="1"/>
    </xf>
    <xf numFmtId="165" fontId="9" fillId="3" borderId="15" xfId="1" applyNumberFormat="1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17" fontId="9" fillId="3" borderId="15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15" fontId="9" fillId="3" borderId="15" xfId="0" applyNumberFormat="1" applyFont="1" applyFill="1" applyBorder="1" applyAlignment="1">
      <alignment horizontal="center" vertical="center" wrapText="1"/>
    </xf>
    <xf numFmtId="17" fontId="9" fillId="3" borderId="16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15" fontId="0" fillId="0" borderId="14" xfId="0" applyNumberFormat="1" applyBorder="1" applyAlignment="1">
      <alignment horizontal="center" vertical="center" wrapText="1"/>
    </xf>
    <xf numFmtId="165" fontId="10" fillId="3" borderId="6" xfId="0" applyNumberFormat="1" applyFont="1" applyFill="1" applyBorder="1" applyAlignment="1">
      <alignment horizontal="center" vertical="center" wrapText="1"/>
    </xf>
    <xf numFmtId="165" fontId="10" fillId="3" borderId="15" xfId="0" applyNumberFormat="1" applyFont="1" applyFill="1" applyBorder="1" applyAlignment="1">
      <alignment horizontal="center" vertical="center" wrapText="1"/>
    </xf>
    <xf numFmtId="165" fontId="10" fillId="3" borderId="15" xfId="1" applyNumberFormat="1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17" fontId="10" fillId="3" borderId="15" xfId="0" applyNumberFormat="1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15" fontId="10" fillId="3" borderId="15" xfId="0" applyNumberFormat="1" applyFont="1" applyFill="1" applyBorder="1" applyAlignment="1">
      <alignment horizontal="center" vertical="center" wrapText="1"/>
    </xf>
    <xf numFmtId="17" fontId="10" fillId="3" borderId="16" xfId="0" applyNumberFormat="1" applyFont="1" applyFill="1" applyBorder="1" applyAlignment="1">
      <alignment horizontal="center" vertical="center" wrapText="1"/>
    </xf>
    <xf numFmtId="165" fontId="0" fillId="3" borderId="15" xfId="0" applyNumberFormat="1" applyFill="1" applyBorder="1" applyAlignment="1">
      <alignment horizontal="center" vertical="center" wrapText="1"/>
    </xf>
    <xf numFmtId="165" fontId="0" fillId="3" borderId="15" xfId="1" applyNumberFormat="1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17" fontId="0" fillId="3" borderId="15" xfId="0" applyNumberFormat="1" applyFill="1" applyBorder="1" applyAlignment="1">
      <alignment horizontal="center" vertical="center" wrapText="1"/>
    </xf>
    <xf numFmtId="15" fontId="0" fillId="3" borderId="15" xfId="0" applyNumberForma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165" fontId="12" fillId="6" borderId="6" xfId="0" applyNumberFormat="1" applyFont="1" applyFill="1" applyBorder="1" applyAlignment="1">
      <alignment horizontal="center" vertical="center" wrapText="1"/>
    </xf>
    <xf numFmtId="165" fontId="12" fillId="6" borderId="15" xfId="0" applyNumberFormat="1" applyFont="1" applyFill="1" applyBorder="1" applyAlignment="1">
      <alignment horizontal="center" vertical="center" wrapText="1"/>
    </xf>
    <xf numFmtId="165" fontId="12" fillId="6" borderId="15" xfId="1" applyNumberFormat="1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17" fontId="12" fillId="6" borderId="15" xfId="0" applyNumberFormat="1" applyFont="1" applyFill="1" applyBorder="1" applyAlignment="1">
      <alignment horizontal="center" vertical="center" wrapText="1"/>
    </xf>
    <xf numFmtId="15" fontId="12" fillId="6" borderId="15" xfId="0" applyNumberFormat="1" applyFont="1" applyFill="1" applyBorder="1" applyAlignment="1">
      <alignment horizontal="center" vertical="center" wrapText="1"/>
    </xf>
    <xf numFmtId="17" fontId="12" fillId="6" borderId="16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5" fontId="12" fillId="6" borderId="18" xfId="0" applyNumberFormat="1" applyFont="1" applyFill="1" applyBorder="1" applyAlignment="1">
      <alignment horizontal="center" vertical="center" wrapText="1"/>
    </xf>
    <xf numFmtId="165" fontId="12" fillId="6" borderId="18" xfId="0" applyNumberFormat="1" applyFont="1" applyFill="1" applyBorder="1" applyAlignment="1">
      <alignment horizontal="center" vertical="center" wrapText="1"/>
    </xf>
    <xf numFmtId="165" fontId="12" fillId="6" borderId="18" xfId="1" applyNumberFormat="1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17" fontId="12" fillId="6" borderId="18" xfId="0" applyNumberFormat="1" applyFont="1" applyFill="1" applyBorder="1" applyAlignment="1">
      <alignment horizontal="center" vertical="center" wrapText="1"/>
    </xf>
    <xf numFmtId="15" fontId="12" fillId="6" borderId="18" xfId="0" applyNumberFormat="1" applyFont="1" applyFill="1" applyBorder="1" applyAlignment="1">
      <alignment horizontal="center" vertical="center" wrapText="1"/>
    </xf>
    <xf numFmtId="17" fontId="12" fillId="6" borderId="20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65" fontId="9" fillId="0" borderId="12" xfId="1" applyNumberFormat="1" applyFont="1" applyBorder="1" applyAlignment="1">
      <alignment horizontal="center" vertical="center" wrapText="1"/>
    </xf>
    <xf numFmtId="43" fontId="9" fillId="0" borderId="12" xfId="1" applyFont="1" applyBorder="1" applyAlignment="1">
      <alignment horizontal="center" vertical="center" wrapText="1"/>
    </xf>
    <xf numFmtId="17" fontId="9" fillId="7" borderId="2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2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5" fontId="12" fillId="6" borderId="14" xfId="0" applyNumberFormat="1" applyFont="1" applyFill="1" applyBorder="1" applyAlignment="1">
      <alignment horizontal="center" vertical="center" wrapText="1"/>
    </xf>
    <xf numFmtId="17" fontId="8" fillId="7" borderId="16" xfId="0" applyNumberFormat="1" applyFont="1" applyFill="1" applyBorder="1" applyAlignment="1">
      <alignment horizontal="center" vertical="center" wrapText="1"/>
    </xf>
    <xf numFmtId="165" fontId="8" fillId="3" borderId="25" xfId="0" applyNumberFormat="1" applyFont="1" applyFill="1" applyBorder="1" applyAlignment="1">
      <alignment horizontal="center" vertical="center" wrapText="1"/>
    </xf>
    <xf numFmtId="165" fontId="8" fillId="3" borderId="25" xfId="1" applyNumberFormat="1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17" fontId="8" fillId="3" borderId="25" xfId="0" applyNumberFormat="1" applyFont="1" applyFill="1" applyBorder="1" applyAlignment="1">
      <alignment horizontal="center" vertical="center" wrapText="1"/>
    </xf>
    <xf numFmtId="15" fontId="8" fillId="3" borderId="25" xfId="0" applyNumberFormat="1" applyFont="1" applyFill="1" applyBorder="1" applyAlignment="1">
      <alignment horizontal="center" vertical="center" wrapText="1"/>
    </xf>
    <xf numFmtId="17" fontId="8" fillId="7" borderId="26" xfId="0" applyNumberFormat="1" applyFont="1" applyFill="1" applyBorder="1" applyAlignment="1">
      <alignment horizontal="center" vertical="center" wrapText="1"/>
    </xf>
    <xf numFmtId="165" fontId="9" fillId="0" borderId="27" xfId="1" applyNumberFormat="1" applyFont="1" applyBorder="1" applyAlignment="1">
      <alignment horizontal="center" vertical="center" wrapText="1"/>
    </xf>
    <xf numFmtId="43" fontId="9" fillId="0" borderId="27" xfId="1" applyFont="1" applyBorder="1" applyAlignment="1">
      <alignment horizontal="center" vertical="center" wrapText="1"/>
    </xf>
    <xf numFmtId="17" fontId="9" fillId="0" borderId="28" xfId="0" applyNumberFormat="1" applyFont="1" applyBorder="1" applyAlignment="1">
      <alignment horizontal="center" vertical="center" wrapText="1"/>
    </xf>
    <xf numFmtId="165" fontId="8" fillId="3" borderId="29" xfId="0" applyNumberFormat="1" applyFont="1" applyFill="1" applyBorder="1" applyAlignment="1">
      <alignment horizontal="center" vertical="center" wrapText="1"/>
    </xf>
    <xf numFmtId="17" fontId="8" fillId="3" borderId="30" xfId="0" applyNumberFormat="1" applyFont="1" applyFill="1" applyBorder="1" applyAlignment="1">
      <alignment horizontal="center" vertical="center" wrapText="1"/>
    </xf>
    <xf numFmtId="17" fontId="8" fillId="3" borderId="15" xfId="0" applyNumberFormat="1" applyFont="1" applyFill="1" applyBorder="1" applyAlignment="1">
      <alignment horizontal="center" vertical="center"/>
    </xf>
    <xf numFmtId="165" fontId="9" fillId="3" borderId="25" xfId="0" applyNumberFormat="1" applyFont="1" applyFill="1" applyBorder="1" applyAlignment="1">
      <alignment horizontal="center" vertical="center" wrapText="1"/>
    </xf>
    <xf numFmtId="165" fontId="9" fillId="3" borderId="25" xfId="1" applyNumberFormat="1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17" fontId="9" fillId="3" borderId="25" xfId="0" applyNumberFormat="1" applyFont="1" applyFill="1" applyBorder="1" applyAlignment="1">
      <alignment horizontal="center" vertical="center" wrapText="1"/>
    </xf>
    <xf numFmtId="15" fontId="9" fillId="3" borderId="25" xfId="0" applyNumberFormat="1" applyFont="1" applyFill="1" applyBorder="1" applyAlignment="1">
      <alignment horizontal="center" vertical="center" wrapText="1"/>
    </xf>
    <xf numFmtId="17" fontId="9" fillId="3" borderId="26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5" fontId="13" fillId="0" borderId="12" xfId="0" applyNumberFormat="1" applyFont="1" applyBorder="1" applyAlignment="1">
      <alignment horizontal="center" vertical="center" wrapText="1"/>
    </xf>
    <xf numFmtId="165" fontId="13" fillId="0" borderId="12" xfId="1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7" fontId="13" fillId="0" borderId="12" xfId="0" applyNumberFormat="1" applyFont="1" applyBorder="1" applyAlignment="1">
      <alignment horizontal="center" vertical="center" wrapText="1"/>
    </xf>
    <xf numFmtId="15" fontId="13" fillId="0" borderId="12" xfId="0" applyNumberFormat="1" applyFont="1" applyBorder="1" applyAlignment="1">
      <alignment horizontal="center" vertical="center" wrapText="1"/>
    </xf>
    <xf numFmtId="17" fontId="14" fillId="0" borderId="22" xfId="0" applyNumberFormat="1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 wrapText="1"/>
    </xf>
    <xf numFmtId="165" fontId="8" fillId="3" borderId="3" xfId="0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7" fontId="8" fillId="3" borderId="3" xfId="0" applyNumberFormat="1" applyFont="1" applyFill="1" applyBorder="1" applyAlignment="1">
      <alignment horizontal="center" vertical="center" wrapText="1"/>
    </xf>
    <xf numFmtId="15" fontId="8" fillId="3" borderId="3" xfId="0" applyNumberFormat="1" applyFont="1" applyFill="1" applyBorder="1" applyAlignment="1">
      <alignment horizontal="center" vertical="center" wrapText="1"/>
    </xf>
    <xf numFmtId="17" fontId="8" fillId="7" borderId="34" xfId="0" applyNumberFormat="1" applyFont="1" applyFill="1" applyBorder="1" applyAlignment="1">
      <alignment horizontal="center" vertical="center" wrapText="1"/>
    </xf>
    <xf numFmtId="17" fontId="9" fillId="7" borderId="26" xfId="0" applyNumberFormat="1" applyFont="1" applyFill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165" fontId="13" fillId="0" borderId="6" xfId="1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5" fontId="9" fillId="3" borderId="29" xfId="0" applyNumberFormat="1" applyFont="1" applyFill="1" applyBorder="1" applyAlignment="1">
      <alignment horizontal="center" vertical="center" wrapText="1"/>
    </xf>
    <xf numFmtId="165" fontId="9" fillId="3" borderId="3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7" fontId="9" fillId="3" borderId="3" xfId="0" applyNumberFormat="1" applyFont="1" applyFill="1" applyBorder="1" applyAlignment="1">
      <alignment horizontal="center" vertical="center" wrapText="1"/>
    </xf>
    <xf numFmtId="15" fontId="9" fillId="3" borderId="3" xfId="0" applyNumberFormat="1" applyFont="1" applyFill="1" applyBorder="1" applyAlignment="1">
      <alignment horizontal="center" vertical="center" wrapText="1"/>
    </xf>
    <xf numFmtId="17" fontId="9" fillId="3" borderId="34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5" fontId="9" fillId="3" borderId="12" xfId="0" applyNumberFormat="1" applyFont="1" applyFill="1" applyBorder="1" applyAlignment="1">
      <alignment horizontal="center" vertical="center" wrapText="1"/>
    </xf>
    <xf numFmtId="17" fontId="8" fillId="8" borderId="16" xfId="0" applyNumberFormat="1" applyFont="1" applyFill="1" applyBorder="1" applyAlignment="1">
      <alignment horizontal="center" vertical="center" wrapText="1"/>
    </xf>
    <xf numFmtId="17" fontId="15" fillId="9" borderId="16" xfId="0" applyNumberFormat="1" applyFont="1" applyFill="1" applyBorder="1" applyAlignment="1">
      <alignment horizontal="center" vertical="center" wrapText="1"/>
    </xf>
    <xf numFmtId="17" fontId="15" fillId="8" borderId="16" xfId="0" applyNumberFormat="1" applyFont="1" applyFill="1" applyBorder="1" applyAlignment="1">
      <alignment horizontal="center" vertical="center" wrapText="1"/>
    </xf>
    <xf numFmtId="17" fontId="12" fillId="0" borderId="16" xfId="0" applyNumberFormat="1" applyFont="1" applyBorder="1" applyAlignment="1">
      <alignment horizontal="center" vertical="center" wrapText="1"/>
    </xf>
    <xf numFmtId="165" fontId="9" fillId="3" borderId="15" xfId="0" applyNumberFormat="1" applyFont="1" applyFill="1" applyBorder="1" applyAlignment="1">
      <alignment horizontal="center" vertical="center" wrapText="1"/>
    </xf>
    <xf numFmtId="165" fontId="10" fillId="3" borderId="36" xfId="0" applyNumberFormat="1" applyFont="1" applyFill="1" applyBorder="1" applyAlignment="1">
      <alignment horizontal="center" vertical="center" wrapText="1"/>
    </xf>
    <xf numFmtId="17" fontId="15" fillId="6" borderId="16" xfId="0" applyNumberFormat="1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165" fontId="9" fillId="3" borderId="25" xfId="0" applyNumberFormat="1" applyFont="1" applyFill="1" applyBorder="1" applyAlignment="1">
      <alignment horizontal="center" vertical="center" wrapText="1"/>
    </xf>
    <xf numFmtId="165" fontId="10" fillId="3" borderId="39" xfId="0" applyNumberFormat="1" applyFont="1" applyFill="1" applyBorder="1" applyAlignment="1">
      <alignment horizontal="center" vertical="center" wrapText="1"/>
    </xf>
    <xf numFmtId="165" fontId="10" fillId="3" borderId="25" xfId="0" applyNumberFormat="1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17" fontId="10" fillId="3" borderId="25" xfId="0" applyNumberFormat="1" applyFont="1" applyFill="1" applyBorder="1" applyAlignment="1">
      <alignment horizontal="center" vertical="center" wrapText="1"/>
    </xf>
    <xf numFmtId="15" fontId="10" fillId="3" borderId="25" xfId="0" applyNumberFormat="1" applyFont="1" applyFill="1" applyBorder="1" applyAlignment="1">
      <alignment horizontal="center" vertical="center" wrapText="1"/>
    </xf>
    <xf numFmtId="17" fontId="8" fillId="3" borderId="26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5" fontId="0" fillId="0" borderId="27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7" fontId="9" fillId="7" borderId="28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64" fontId="10" fillId="0" borderId="1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7" fontId="5" fillId="0" borderId="14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5" fontId="5" fillId="0" borderId="12" xfId="0" applyNumberFormat="1" applyFont="1" applyBorder="1" applyAlignment="1">
      <alignment horizontal="center" vertical="center" wrapText="1"/>
    </xf>
    <xf numFmtId="17" fontId="5" fillId="0" borderId="30" xfId="0" applyNumberFormat="1" applyFont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165" fontId="5" fillId="0" borderId="15" xfId="0" applyNumberFormat="1" applyFont="1" applyBorder="1" applyAlignment="1">
      <alignment horizontal="center" vertical="center" wrapText="1"/>
    </xf>
    <xf numFmtId="165" fontId="5" fillId="0" borderId="12" xfId="0" applyNumberFormat="1" applyFont="1" applyBorder="1" applyAlignment="1">
      <alignment horizontal="center" vertical="center" wrapText="1"/>
    </xf>
    <xf numFmtId="165" fontId="5" fillId="0" borderId="12" xfId="1" applyNumberFormat="1" applyFont="1" applyBorder="1" applyAlignment="1">
      <alignment horizontal="center" vertical="center" wrapText="1"/>
    </xf>
    <xf numFmtId="17" fontId="5" fillId="0" borderId="12" xfId="0" applyNumberFormat="1" applyFont="1" applyBorder="1" applyAlignment="1">
      <alignment horizontal="center" vertical="center" wrapText="1"/>
    </xf>
    <xf numFmtId="0" fontId="5" fillId="10" borderId="40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15" fontId="5" fillId="0" borderId="15" xfId="0" applyNumberFormat="1" applyFont="1" applyBorder="1" applyAlignment="1">
      <alignment horizontal="center" vertical="center" wrapText="1"/>
    </xf>
    <xf numFmtId="17" fontId="5" fillId="0" borderId="42" xfId="0" applyNumberFormat="1" applyFont="1" applyBorder="1" applyAlignment="1">
      <alignment horizontal="center" vertical="center" wrapText="1"/>
    </xf>
    <xf numFmtId="165" fontId="5" fillId="0" borderId="15" xfId="1" applyNumberFormat="1" applyFont="1" applyBorder="1" applyAlignment="1">
      <alignment horizontal="center" vertical="center" wrapText="1"/>
    </xf>
    <xf numFmtId="17" fontId="5" fillId="0" borderId="15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17" fontId="5" fillId="0" borderId="5" xfId="0" applyNumberFormat="1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165" fontId="5" fillId="0" borderId="25" xfId="0" applyNumberFormat="1" applyFont="1" applyBorder="1" applyAlignment="1">
      <alignment horizontal="center" vertical="center" wrapText="1"/>
    </xf>
    <xf numFmtId="165" fontId="5" fillId="0" borderId="25" xfId="1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17" fontId="5" fillId="0" borderId="25" xfId="0" applyNumberFormat="1" applyFont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15" fontId="5" fillId="0" borderId="45" xfId="0" applyNumberFormat="1" applyFont="1" applyBorder="1" applyAlignment="1">
      <alignment horizontal="center" vertical="center" wrapText="1"/>
    </xf>
    <xf numFmtId="17" fontId="5" fillId="0" borderId="26" xfId="0" applyNumberFormat="1" applyFont="1" applyBorder="1" applyAlignment="1">
      <alignment horizontal="center" vertical="center" wrapText="1"/>
    </xf>
    <xf numFmtId="164" fontId="10" fillId="0" borderId="12" xfId="0" applyNumberFormat="1" applyFont="1" applyBorder="1" applyAlignment="1">
      <alignment horizontal="center" vertical="center" wrapText="1"/>
    </xf>
    <xf numFmtId="165" fontId="5" fillId="0" borderId="12" xfId="1" applyNumberFormat="1" applyFont="1" applyFill="1" applyBorder="1" applyAlignment="1">
      <alignment horizontal="center" vertical="center" wrapText="1"/>
    </xf>
    <xf numFmtId="43" fontId="5" fillId="0" borderId="12" xfId="1" applyFont="1" applyFill="1" applyBorder="1" applyAlignment="1">
      <alignment horizontal="center" vertical="center" wrapText="1"/>
    </xf>
    <xf numFmtId="17" fontId="5" fillId="7" borderId="22" xfId="0" applyNumberFormat="1" applyFont="1" applyFill="1" applyBorder="1" applyAlignment="1">
      <alignment horizontal="center" vertical="center" wrapText="1"/>
    </xf>
    <xf numFmtId="15" fontId="0" fillId="0" borderId="46" xfId="0" applyNumberFormat="1" applyBorder="1" applyAlignment="1">
      <alignment horizontal="center" vertical="center" wrapText="1"/>
    </xf>
    <xf numFmtId="164" fontId="8" fillId="3" borderId="3" xfId="0" applyNumberFormat="1" applyFont="1" applyFill="1" applyBorder="1" applyAlignment="1">
      <alignment horizontal="center" vertical="center" wrapText="1"/>
    </xf>
    <xf numFmtId="17" fontId="8" fillId="3" borderId="34" xfId="0" applyNumberFormat="1" applyFont="1" applyFill="1" applyBorder="1" applyAlignment="1">
      <alignment horizontal="center" vertical="center" wrapText="1"/>
    </xf>
    <xf numFmtId="164" fontId="8" fillId="3" borderId="15" xfId="0" applyNumberFormat="1" applyFont="1" applyFill="1" applyBorder="1" applyAlignment="1">
      <alignment horizontal="center" vertical="center" wrapText="1"/>
    </xf>
    <xf numFmtId="165" fontId="17" fillId="3" borderId="15" xfId="1" applyNumberFormat="1" applyFont="1" applyFill="1" applyBorder="1" applyAlignment="1">
      <alignment horizontal="center"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164" fontId="12" fillId="6" borderId="15" xfId="0" applyNumberFormat="1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166" fontId="12" fillId="6" borderId="6" xfId="0" applyNumberFormat="1" applyFont="1" applyFill="1" applyBorder="1" applyAlignment="1">
      <alignment horizontal="center" vertical="center" wrapText="1"/>
    </xf>
    <xf numFmtId="164" fontId="10" fillId="3" borderId="15" xfId="0" applyNumberFormat="1" applyFont="1" applyFill="1" applyBorder="1" applyAlignment="1">
      <alignment horizontal="center" vertical="center" wrapText="1"/>
    </xf>
    <xf numFmtId="165" fontId="10" fillId="3" borderId="6" xfId="0" applyNumberFormat="1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17" fontId="10" fillId="3" borderId="6" xfId="0" applyNumberFormat="1" applyFont="1" applyFill="1" applyBorder="1" applyAlignment="1">
      <alignment horizontal="center" vertical="center" wrapText="1"/>
    </xf>
    <xf numFmtId="164" fontId="12" fillId="6" borderId="18" xfId="0" applyNumberFormat="1" applyFont="1" applyFill="1" applyBorder="1" applyAlignment="1">
      <alignment horizontal="center" vertical="center" wrapText="1"/>
    </xf>
    <xf numFmtId="165" fontId="12" fillId="6" borderId="25" xfId="0" applyNumberFormat="1" applyFont="1" applyFill="1" applyBorder="1" applyAlignment="1">
      <alignment horizontal="center" vertical="center" wrapText="1"/>
    </xf>
    <xf numFmtId="165" fontId="12" fillId="6" borderId="25" xfId="1" applyNumberFormat="1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17" fontId="12" fillId="6" borderId="25" xfId="0" applyNumberFormat="1" applyFont="1" applyFill="1" applyBorder="1" applyAlignment="1">
      <alignment horizontal="center" vertical="center" wrapText="1"/>
    </xf>
    <xf numFmtId="15" fontId="12" fillId="6" borderId="25" xfId="0" applyNumberFormat="1" applyFont="1" applyFill="1" applyBorder="1" applyAlignment="1">
      <alignment horizontal="center" vertical="center" wrapText="1"/>
    </xf>
    <xf numFmtId="17" fontId="12" fillId="6" borderId="26" xfId="0" applyNumberFormat="1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5" fontId="0" fillId="0" borderId="49" xfId="0" applyNumberFormat="1" applyBorder="1" applyAlignment="1">
      <alignment horizontal="center" vertical="center" wrapText="1"/>
    </xf>
    <xf numFmtId="164" fontId="0" fillId="0" borderId="49" xfId="0" applyNumberFormat="1" applyBorder="1" applyAlignment="1">
      <alignment horizontal="center" vertical="center" wrapText="1"/>
    </xf>
    <xf numFmtId="165" fontId="17" fillId="0" borderId="27" xfId="0" applyNumberFormat="1" applyFont="1" applyBorder="1" applyAlignment="1">
      <alignment horizontal="center" vertical="center" wrapText="1"/>
    </xf>
    <xf numFmtId="165" fontId="18" fillId="0" borderId="27" xfId="1" applyNumberFormat="1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17" fontId="18" fillId="0" borderId="27" xfId="0" applyNumberFormat="1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15" fontId="17" fillId="0" borderId="27" xfId="0" applyNumberFormat="1" applyFont="1" applyBorder="1" applyAlignment="1">
      <alignment horizontal="center" vertical="center" wrapText="1"/>
    </xf>
    <xf numFmtId="17" fontId="19" fillId="0" borderId="28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40" xfId="0" applyNumberFormat="1" applyBorder="1" applyAlignment="1">
      <alignment horizontal="center" vertical="center" wrapText="1"/>
    </xf>
    <xf numFmtId="165" fontId="9" fillId="3" borderId="14" xfId="0" applyNumberFormat="1" applyFont="1" applyFill="1" applyBorder="1" applyAlignment="1">
      <alignment horizontal="center" vertical="center" wrapText="1"/>
    </xf>
    <xf numFmtId="165" fontId="9" fillId="3" borderId="50" xfId="1" applyNumberFormat="1" applyFont="1" applyFill="1" applyBorder="1" applyAlignment="1">
      <alignment horizontal="center" vertical="center" wrapText="1"/>
    </xf>
    <xf numFmtId="165" fontId="9" fillId="3" borderId="14" xfId="0" applyNumberFormat="1" applyFont="1" applyFill="1" applyBorder="1" applyAlignment="1">
      <alignment horizontal="center" vertical="center" wrapText="1"/>
    </xf>
    <xf numFmtId="17" fontId="9" fillId="3" borderId="14" xfId="0" applyNumberFormat="1" applyFont="1" applyFill="1" applyBorder="1" applyAlignment="1">
      <alignment horizontal="center" vertical="center" wrapText="1"/>
    </xf>
    <xf numFmtId="15" fontId="9" fillId="3" borderId="14" xfId="0" applyNumberFormat="1" applyFont="1" applyFill="1" applyBorder="1" applyAlignment="1">
      <alignment horizontal="center" vertical="center" wrapText="1"/>
    </xf>
    <xf numFmtId="17" fontId="9" fillId="3" borderId="30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165" fontId="8" fillId="3" borderId="39" xfId="1" applyNumberFormat="1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165" fontId="9" fillId="7" borderId="14" xfId="1" applyNumberFormat="1" applyFont="1" applyFill="1" applyBorder="1" applyAlignment="1">
      <alignment horizontal="center" vertical="center" wrapText="1"/>
    </xf>
    <xf numFmtId="43" fontId="9" fillId="7" borderId="14" xfId="1" applyFont="1" applyFill="1" applyBorder="1" applyAlignment="1">
      <alignment horizontal="center" vertical="center" wrapText="1"/>
    </xf>
    <xf numFmtId="17" fontId="8" fillId="7" borderId="30" xfId="0" applyNumberFormat="1" applyFont="1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65" fontId="9" fillId="0" borderId="27" xfId="1" applyNumberFormat="1" applyFont="1" applyFill="1" applyBorder="1" applyAlignment="1">
      <alignment horizontal="center" vertical="center" wrapText="1"/>
    </xf>
    <xf numFmtId="165" fontId="9" fillId="7" borderId="27" xfId="1" applyNumberFormat="1" applyFont="1" applyFill="1" applyBorder="1" applyAlignment="1">
      <alignment horizontal="center" vertical="center" wrapText="1"/>
    </xf>
    <xf numFmtId="43" fontId="9" fillId="7" borderId="27" xfId="1" applyFont="1" applyFill="1" applyBorder="1" applyAlignment="1">
      <alignment horizontal="center" vertical="center" wrapText="1"/>
    </xf>
    <xf numFmtId="17" fontId="8" fillId="7" borderId="28" xfId="0" applyNumberFormat="1" applyFont="1" applyFill="1" applyBorder="1" applyAlignment="1">
      <alignment horizontal="center" vertical="center" wrapText="1"/>
    </xf>
    <xf numFmtId="165" fontId="8" fillId="3" borderId="14" xfId="0" applyNumberFormat="1" applyFont="1" applyFill="1" applyBorder="1" applyAlignment="1">
      <alignment horizontal="center" vertical="center" wrapText="1"/>
    </xf>
    <xf numFmtId="165" fontId="8" fillId="3" borderId="14" xfId="1" applyNumberFormat="1" applyFont="1" applyFill="1" applyBorder="1" applyAlignment="1">
      <alignment horizontal="center" vertical="center" wrapText="1"/>
    </xf>
    <xf numFmtId="17" fontId="8" fillId="3" borderId="14" xfId="0" applyNumberFormat="1" applyFont="1" applyFill="1" applyBorder="1" applyAlignment="1">
      <alignment horizontal="center" vertical="center" wrapText="1"/>
    </xf>
    <xf numFmtId="15" fontId="8" fillId="3" borderId="14" xfId="0" applyNumberFormat="1" applyFont="1" applyFill="1" applyBorder="1" applyAlignment="1">
      <alignment horizontal="center" vertical="center" wrapText="1"/>
    </xf>
    <xf numFmtId="17" fontId="13" fillId="3" borderId="30" xfId="0" applyNumberFormat="1" applyFont="1" applyFill="1" applyBorder="1" applyAlignment="1">
      <alignment horizontal="center" vertical="center" wrapText="1"/>
    </xf>
    <xf numFmtId="165" fontId="8" fillId="3" borderId="6" xfId="0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7" fontId="8" fillId="3" borderId="6" xfId="0" applyNumberFormat="1" applyFont="1" applyFill="1" applyBorder="1" applyAlignment="1">
      <alignment horizontal="center" vertical="center" wrapText="1"/>
    </xf>
    <xf numFmtId="15" fontId="8" fillId="3" borderId="6" xfId="0" applyNumberFormat="1" applyFont="1" applyFill="1" applyBorder="1" applyAlignment="1">
      <alignment horizontal="center" vertical="center" wrapText="1"/>
    </xf>
    <xf numFmtId="17" fontId="17" fillId="3" borderId="16" xfId="0" applyNumberFormat="1" applyFont="1" applyFill="1" applyBorder="1" applyAlignment="1">
      <alignment horizontal="center" vertical="center" wrapText="1"/>
    </xf>
    <xf numFmtId="17" fontId="9" fillId="3" borderId="6" xfId="0" applyNumberFormat="1" applyFont="1" applyFill="1" applyBorder="1" applyAlignment="1">
      <alignment horizontal="center" vertical="center" wrapText="1"/>
    </xf>
    <xf numFmtId="17" fontId="17" fillId="7" borderId="16" xfId="0" applyNumberFormat="1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165" fontId="8" fillId="3" borderId="6" xfId="0" applyNumberFormat="1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165" fontId="10" fillId="3" borderId="25" xfId="1" applyNumberFormat="1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5" fontId="0" fillId="0" borderId="27" xfId="0" applyNumberFormat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 wrapText="1"/>
    </xf>
    <xf numFmtId="165" fontId="17" fillId="0" borderId="53" xfId="0" applyNumberFormat="1" applyFont="1" applyBorder="1" applyAlignment="1">
      <alignment horizontal="center" vertical="center" wrapText="1"/>
    </xf>
    <xf numFmtId="165" fontId="17" fillId="0" borderId="53" xfId="1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7" fontId="17" fillId="0" borderId="53" xfId="0" applyNumberFormat="1" applyFont="1" applyBorder="1" applyAlignment="1">
      <alignment horizontal="center" vertical="center" wrapText="1"/>
    </xf>
    <xf numFmtId="15" fontId="17" fillId="0" borderId="53" xfId="0" applyNumberFormat="1" applyFont="1" applyBorder="1" applyAlignment="1">
      <alignment horizontal="center" vertical="center" wrapText="1"/>
    </xf>
    <xf numFmtId="17" fontId="19" fillId="0" borderId="54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15" fontId="0" fillId="0" borderId="12" xfId="0" applyNumberFormat="1" applyBorder="1" applyAlignment="1">
      <alignment horizontal="center" vertical="center" wrapText="1"/>
    </xf>
    <xf numFmtId="164" fontId="0" fillId="0" borderId="41" xfId="0" applyNumberFormat="1" applyBorder="1" applyAlignment="1">
      <alignment horizontal="center" vertical="center" wrapText="1"/>
    </xf>
    <xf numFmtId="165" fontId="10" fillId="3" borderId="12" xfId="0" applyNumberFormat="1" applyFont="1" applyFill="1" applyBorder="1" applyAlignment="1">
      <alignment horizontal="center" vertical="center" wrapText="1"/>
    </xf>
    <xf numFmtId="165" fontId="10" fillId="3" borderId="50" xfId="0" applyNumberFormat="1" applyFont="1" applyFill="1" applyBorder="1" applyAlignment="1">
      <alignment horizontal="center" vertical="center" wrapText="1"/>
    </xf>
    <xf numFmtId="165" fontId="10" fillId="3" borderId="14" xfId="1" applyNumberFormat="1" applyFont="1" applyFill="1" applyBorder="1" applyAlignment="1">
      <alignment horizontal="center" vertical="center" wrapText="1"/>
    </xf>
    <xf numFmtId="17" fontId="10" fillId="3" borderId="14" xfId="0" applyNumberFormat="1" applyFont="1" applyFill="1" applyBorder="1" applyAlignment="1">
      <alignment horizontal="center" vertical="center" wrapText="1"/>
    </xf>
    <xf numFmtId="15" fontId="10" fillId="3" borderId="14" xfId="0" applyNumberFormat="1" applyFont="1" applyFill="1" applyBorder="1" applyAlignment="1">
      <alignment horizontal="center" vertical="center" wrapText="1"/>
    </xf>
    <xf numFmtId="17" fontId="10" fillId="3" borderId="30" xfId="0" applyNumberFormat="1" applyFont="1" applyFill="1" applyBorder="1" applyAlignment="1">
      <alignment horizontal="center" vertical="center" wrapText="1"/>
    </xf>
    <xf numFmtId="164" fontId="0" fillId="0" borderId="55" xfId="0" applyNumberFormat="1" applyBorder="1" applyAlignment="1">
      <alignment horizontal="center" vertical="center" wrapText="1"/>
    </xf>
    <xf numFmtId="165" fontId="10" fillId="3" borderId="25" xfId="0" applyNumberFormat="1" applyFont="1" applyFill="1" applyBorder="1" applyAlignment="1">
      <alignment horizontal="center" vertical="center" wrapText="1"/>
    </xf>
    <xf numFmtId="165" fontId="10" fillId="3" borderId="39" xfId="1" applyNumberFormat="1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17" fontId="10" fillId="3" borderId="26" xfId="0" applyNumberFormat="1" applyFont="1" applyFill="1" applyBorder="1" applyAlignment="1">
      <alignment horizontal="center" vertical="center" wrapText="1"/>
    </xf>
    <xf numFmtId="165" fontId="0" fillId="3" borderId="29" xfId="0" applyNumberFormat="1" applyFill="1" applyBorder="1" applyAlignment="1">
      <alignment horizontal="center" vertical="center" wrapText="1"/>
    </xf>
    <xf numFmtId="17" fontId="12" fillId="5" borderId="34" xfId="0" applyNumberFormat="1" applyFont="1" applyFill="1" applyBorder="1" applyAlignment="1">
      <alignment horizontal="center" vertical="center" wrapText="1"/>
    </xf>
    <xf numFmtId="165" fontId="0" fillId="3" borderId="14" xfId="0" applyNumberFormat="1" applyFill="1" applyBorder="1" applyAlignment="1">
      <alignment horizontal="center" vertical="center" wrapText="1"/>
    </xf>
    <xf numFmtId="165" fontId="0" fillId="3" borderId="14" xfId="1" applyNumberFormat="1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167" fontId="0" fillId="3" borderId="14" xfId="0" applyNumberFormat="1" applyFill="1" applyBorder="1" applyAlignment="1">
      <alignment horizontal="center" vertical="center" wrapText="1"/>
    </xf>
    <xf numFmtId="15" fontId="0" fillId="3" borderId="14" xfId="0" applyNumberFormat="1" applyFill="1" applyBorder="1" applyAlignment="1">
      <alignment horizontal="center" vertical="center" wrapText="1"/>
    </xf>
    <xf numFmtId="17" fontId="0" fillId="3" borderId="30" xfId="0" applyNumberFormat="1" applyFill="1" applyBorder="1" applyAlignment="1">
      <alignment horizontal="center" vertical="center" wrapText="1"/>
    </xf>
    <xf numFmtId="167" fontId="9" fillId="3" borderId="6" xfId="0" applyNumberFormat="1" applyFont="1" applyFill="1" applyBorder="1" applyAlignment="1">
      <alignment horizontal="center" vertical="center" wrapText="1"/>
    </xf>
    <xf numFmtId="165" fontId="9" fillId="3" borderId="6" xfId="1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15" fontId="9" fillId="3" borderId="6" xfId="0" applyNumberFormat="1" applyFont="1" applyFill="1" applyBorder="1" applyAlignment="1">
      <alignment horizontal="center" vertical="center" wrapText="1"/>
    </xf>
    <xf numFmtId="0" fontId="0" fillId="12" borderId="0" xfId="0" applyFill="1" applyAlignment="1">
      <alignment horizontal="left" vertical="center"/>
    </xf>
    <xf numFmtId="167" fontId="12" fillId="6" borderId="15" xfId="0" applyNumberFormat="1" applyFont="1" applyFill="1" applyBorder="1" applyAlignment="1">
      <alignment horizontal="center" vertical="center" wrapText="1"/>
    </xf>
    <xf numFmtId="166" fontId="12" fillId="6" borderId="15" xfId="0" applyNumberFormat="1" applyFont="1" applyFill="1" applyBorder="1" applyAlignment="1">
      <alignment horizontal="center" vertical="center" wrapText="1"/>
    </xf>
    <xf numFmtId="17" fontId="12" fillId="6" borderId="30" xfId="0" applyNumberFormat="1" applyFont="1" applyFill="1" applyBorder="1" applyAlignment="1">
      <alignment horizontal="center" vertical="center" wrapText="1"/>
    </xf>
    <xf numFmtId="167" fontId="8" fillId="3" borderId="15" xfId="0" applyNumberFormat="1" applyFont="1" applyFill="1" applyBorder="1" applyAlignment="1">
      <alignment horizontal="center" vertical="center" wrapText="1"/>
    </xf>
    <xf numFmtId="167" fontId="8" fillId="3" borderId="6" xfId="0" applyNumberFormat="1" applyFont="1" applyFill="1" applyBorder="1" applyAlignment="1">
      <alignment horizontal="center" vertical="center" wrapText="1"/>
    </xf>
    <xf numFmtId="17" fontId="9" fillId="3" borderId="56" xfId="0" applyNumberFormat="1" applyFont="1" applyFill="1" applyBorder="1" applyAlignment="1">
      <alignment horizontal="center" vertical="center" wrapText="1"/>
    </xf>
    <xf numFmtId="165" fontId="8" fillId="3" borderId="36" xfId="0" applyNumberFormat="1" applyFont="1" applyFill="1" applyBorder="1" applyAlignment="1">
      <alignment horizontal="center" vertical="center" wrapText="1"/>
    </xf>
    <xf numFmtId="167" fontId="9" fillId="3" borderId="15" xfId="0" applyNumberFormat="1" applyFont="1" applyFill="1" applyBorder="1" applyAlignment="1">
      <alignment horizontal="center" vertical="center" wrapText="1"/>
    </xf>
    <xf numFmtId="17" fontId="8" fillId="3" borderId="56" xfId="0" applyNumberFormat="1" applyFont="1" applyFill="1" applyBorder="1" applyAlignment="1">
      <alignment horizontal="center" vertical="center" wrapText="1"/>
    </xf>
    <xf numFmtId="165" fontId="8" fillId="3" borderId="25" xfId="0" applyNumberFormat="1" applyFont="1" applyFill="1" applyBorder="1" applyAlignment="1">
      <alignment horizontal="center" vertical="center" wrapText="1"/>
    </xf>
    <xf numFmtId="165" fontId="8" fillId="3" borderId="39" xfId="0" applyNumberFormat="1" applyFont="1" applyFill="1" applyBorder="1" applyAlignment="1">
      <alignment horizontal="center" vertical="center" wrapText="1"/>
    </xf>
    <xf numFmtId="167" fontId="9" fillId="3" borderId="25" xfId="0" applyNumberFormat="1" applyFont="1" applyFill="1" applyBorder="1" applyAlignment="1">
      <alignment horizontal="center" vertical="center" wrapText="1"/>
    </xf>
    <xf numFmtId="17" fontId="12" fillId="6" borderId="57" xfId="0" applyNumberFormat="1" applyFont="1" applyFill="1" applyBorder="1" applyAlignment="1">
      <alignment horizontal="center" vertical="center" wrapText="1"/>
    </xf>
    <xf numFmtId="165" fontId="9" fillId="0" borderId="12" xfId="1" applyNumberFormat="1" applyFont="1" applyFill="1" applyBorder="1" applyAlignment="1">
      <alignment horizontal="center" vertical="center" wrapText="1"/>
    </xf>
    <xf numFmtId="43" fontId="9" fillId="0" borderId="12" xfId="1" applyFont="1" applyFill="1" applyBorder="1" applyAlignment="1">
      <alignment horizontal="center" vertical="center" wrapText="1"/>
    </xf>
    <xf numFmtId="17" fontId="8" fillId="7" borderId="22" xfId="0" applyNumberFormat="1" applyFont="1" applyFill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168" fontId="12" fillId="6" borderId="33" xfId="0" applyNumberFormat="1" applyFont="1" applyFill="1" applyBorder="1" applyAlignment="1">
      <alignment horizontal="center" vertical="center" wrapText="1"/>
    </xf>
    <xf numFmtId="165" fontId="12" fillId="6" borderId="3" xfId="0" applyNumberFormat="1" applyFont="1" applyFill="1" applyBorder="1" applyAlignment="1">
      <alignment horizontal="center" vertical="center" wrapText="1"/>
    </xf>
    <xf numFmtId="165" fontId="12" fillId="6" borderId="3" xfId="1" applyNumberFormat="1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17" fontId="12" fillId="6" borderId="3" xfId="0" applyNumberFormat="1" applyFont="1" applyFill="1" applyBorder="1" applyAlignment="1">
      <alignment horizontal="center" vertical="center" wrapText="1"/>
    </xf>
    <xf numFmtId="15" fontId="12" fillId="6" borderId="3" xfId="0" applyNumberFormat="1" applyFont="1" applyFill="1" applyBorder="1" applyAlignment="1">
      <alignment horizontal="center" vertical="center" wrapText="1"/>
    </xf>
    <xf numFmtId="17" fontId="12" fillId="6" borderId="34" xfId="0" applyNumberFormat="1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15" fontId="0" fillId="0" borderId="61" xfId="0" applyNumberFormat="1" applyBorder="1" applyAlignment="1">
      <alignment horizontal="center" vertical="center" wrapText="1"/>
    </xf>
    <xf numFmtId="168" fontId="12" fillId="6" borderId="3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5" fontId="0" fillId="0" borderId="62" xfId="0" applyNumberFormat="1" applyBorder="1" applyAlignment="1">
      <alignment horizontal="center" vertical="center" wrapText="1"/>
    </xf>
    <xf numFmtId="165" fontId="13" fillId="0" borderId="48" xfId="0" applyNumberFormat="1" applyFont="1" applyBorder="1" applyAlignment="1">
      <alignment horizontal="center" vertical="center" wrapText="1"/>
    </xf>
    <xf numFmtId="165" fontId="17" fillId="0" borderId="27" xfId="1" applyNumberFormat="1" applyFont="1" applyFill="1" applyBorder="1" applyAlignment="1">
      <alignment horizontal="center" vertical="center" wrapText="1"/>
    </xf>
    <xf numFmtId="17" fontId="17" fillId="0" borderId="27" xfId="0" applyNumberFormat="1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165" fontId="9" fillId="3" borderId="12" xfId="0" applyNumberFormat="1" applyFont="1" applyFill="1" applyBorder="1" applyAlignment="1">
      <alignment horizontal="center" vertical="center" wrapText="1"/>
    </xf>
    <xf numFmtId="165" fontId="9" fillId="3" borderId="6" xfId="0" applyNumberFormat="1" applyFont="1" applyFill="1" applyBorder="1" applyAlignment="1">
      <alignment horizontal="center" vertical="center" wrapText="1"/>
    </xf>
    <xf numFmtId="17" fontId="12" fillId="5" borderId="16" xfId="0" applyNumberFormat="1" applyFont="1" applyFill="1" applyBorder="1" applyAlignment="1">
      <alignment horizontal="center" vertical="center" wrapText="1"/>
    </xf>
    <xf numFmtId="165" fontId="15" fillId="6" borderId="6" xfId="0" applyNumberFormat="1" applyFont="1" applyFill="1" applyBorder="1" applyAlignment="1">
      <alignment horizontal="center" vertical="center" wrapText="1"/>
    </xf>
    <xf numFmtId="165" fontId="12" fillId="6" borderId="14" xfId="0" applyNumberFormat="1" applyFont="1" applyFill="1" applyBorder="1" applyAlignment="1">
      <alignment horizontal="center" vertical="center" wrapText="1"/>
    </xf>
    <xf numFmtId="165" fontId="15" fillId="6" borderId="14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7" fontId="0" fillId="3" borderId="16" xfId="0" applyNumberForma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43" fontId="21" fillId="0" borderId="12" xfId="1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5" fontId="9" fillId="7" borderId="12" xfId="1" applyNumberFormat="1" applyFont="1" applyFill="1" applyBorder="1" applyAlignment="1">
      <alignment horizontal="center" vertical="center" wrapText="1"/>
    </xf>
    <xf numFmtId="43" fontId="9" fillId="7" borderId="12" xfId="1" applyFont="1" applyFill="1" applyBorder="1" applyAlignment="1">
      <alignment horizontal="center" vertical="center" wrapText="1"/>
    </xf>
    <xf numFmtId="17" fontId="8" fillId="7" borderId="64" xfId="0" applyNumberFormat="1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7" fontId="5" fillId="0" borderId="3" xfId="0" applyNumberFormat="1" applyFont="1" applyBorder="1" applyAlignment="1">
      <alignment horizontal="center" vertical="center" wrapText="1"/>
    </xf>
    <xf numFmtId="15" fontId="5" fillId="0" borderId="3" xfId="0" applyNumberFormat="1" applyFont="1" applyBorder="1" applyAlignment="1">
      <alignment horizontal="center" vertical="center" wrapText="1"/>
    </xf>
    <xf numFmtId="17" fontId="5" fillId="0" borderId="34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5" fontId="5" fillId="0" borderId="14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167" fontId="10" fillId="3" borderId="15" xfId="0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165" fontId="10" fillId="3" borderId="18" xfId="0" applyNumberFormat="1" applyFont="1" applyFill="1" applyBorder="1" applyAlignment="1">
      <alignment horizontal="center" vertical="center" wrapText="1"/>
    </xf>
    <xf numFmtId="165" fontId="10" fillId="3" borderId="19" xfId="0" applyNumberFormat="1" applyFont="1" applyFill="1" applyBorder="1" applyAlignment="1">
      <alignment horizontal="center" vertical="center" wrapText="1"/>
    </xf>
    <xf numFmtId="165" fontId="10" fillId="3" borderId="18" xfId="1" applyNumberFormat="1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17" fontId="10" fillId="3" borderId="18" xfId="0" applyNumberFormat="1" applyFont="1" applyFill="1" applyBorder="1" applyAlignment="1">
      <alignment horizontal="center" vertical="center" wrapText="1"/>
    </xf>
    <xf numFmtId="15" fontId="10" fillId="3" borderId="18" xfId="0" applyNumberFormat="1" applyFont="1" applyFill="1" applyBorder="1" applyAlignment="1">
      <alignment horizontal="center" vertical="center" wrapText="1"/>
    </xf>
    <xf numFmtId="17" fontId="10" fillId="3" borderId="20" xfId="0" applyNumberFormat="1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165" fontId="23" fillId="0" borderId="12" xfId="0" applyNumberFormat="1" applyFont="1" applyBorder="1" applyAlignment="1">
      <alignment horizontal="center" vertical="center" wrapText="1"/>
    </xf>
    <xf numFmtId="165" fontId="23" fillId="0" borderId="14" xfId="0" applyNumberFormat="1" applyFont="1" applyBorder="1" applyAlignment="1">
      <alignment horizontal="center" vertical="center" wrapText="1"/>
    </xf>
    <xf numFmtId="165" fontId="23" fillId="0" borderId="14" xfId="1" applyNumberFormat="1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17" fontId="23" fillId="0" borderId="14" xfId="0" applyNumberFormat="1" applyFont="1" applyBorder="1" applyAlignment="1">
      <alignment horizontal="center" vertical="center" wrapText="1"/>
    </xf>
    <xf numFmtId="15" fontId="23" fillId="0" borderId="14" xfId="0" applyNumberFormat="1" applyFont="1" applyBorder="1" applyAlignment="1">
      <alignment horizontal="center" vertical="center" wrapText="1"/>
    </xf>
    <xf numFmtId="17" fontId="23" fillId="0" borderId="30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165" fontId="10" fillId="3" borderId="24" xfId="0" applyNumberFormat="1" applyFont="1" applyFill="1" applyBorder="1" applyAlignment="1">
      <alignment horizontal="center" vertical="center" wrapText="1"/>
    </xf>
    <xf numFmtId="165" fontId="10" fillId="3" borderId="6" xfId="1" applyNumberFormat="1" applyFont="1" applyFill="1" applyBorder="1" applyAlignment="1">
      <alignment horizontal="center" vertical="center" wrapText="1"/>
    </xf>
    <xf numFmtId="167" fontId="10" fillId="3" borderId="6" xfId="0" applyNumberFormat="1" applyFont="1" applyFill="1" applyBorder="1" applyAlignment="1">
      <alignment horizontal="center" vertical="center" wrapText="1"/>
    </xf>
    <xf numFmtId="15" fontId="10" fillId="3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5" fontId="10" fillId="3" borderId="55" xfId="0" applyNumberFormat="1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164" fontId="8" fillId="0" borderId="15" xfId="0" applyNumberFormat="1" applyFont="1" applyBorder="1" applyAlignment="1">
      <alignment horizontal="center" vertical="center" wrapText="1"/>
    </xf>
    <xf numFmtId="165" fontId="23" fillId="0" borderId="14" xfId="2" applyNumberFormat="1" applyFont="1" applyFill="1" applyBorder="1" applyAlignment="1">
      <alignment horizontal="center" vertical="center" wrapText="1"/>
    </xf>
    <xf numFmtId="165" fontId="0" fillId="3" borderId="25" xfId="0" applyNumberFormat="1" applyFill="1" applyBorder="1" applyAlignment="1">
      <alignment horizontal="center" vertical="center" wrapText="1"/>
    </xf>
    <xf numFmtId="167" fontId="10" fillId="3" borderId="25" xfId="0" applyNumberFormat="1" applyFont="1" applyFill="1" applyBorder="1" applyAlignment="1">
      <alignment horizontal="center" vertical="center" wrapText="1"/>
    </xf>
    <xf numFmtId="165" fontId="8" fillId="0" borderId="14" xfId="0" applyNumberFormat="1" applyFont="1" applyBorder="1" applyAlignment="1">
      <alignment horizontal="center" vertical="center" wrapText="1"/>
    </xf>
    <xf numFmtId="17" fontId="8" fillId="0" borderId="14" xfId="0" applyNumberFormat="1" applyFont="1" applyBorder="1" applyAlignment="1">
      <alignment horizontal="center" vertical="center" wrapText="1"/>
    </xf>
    <xf numFmtId="15" fontId="8" fillId="0" borderId="14" xfId="0" applyNumberFormat="1" applyFont="1" applyBorder="1" applyAlignment="1">
      <alignment horizontal="center" vertical="center" wrapText="1"/>
    </xf>
    <xf numFmtId="165" fontId="18" fillId="0" borderId="25" xfId="0" applyNumberFormat="1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17" fontId="18" fillId="0" borderId="25" xfId="0" applyNumberFormat="1" applyFont="1" applyBorder="1" applyAlignment="1">
      <alignment horizontal="center" vertical="center" wrapText="1"/>
    </xf>
    <xf numFmtId="15" fontId="18" fillId="0" borderId="25" xfId="0" applyNumberFormat="1" applyFont="1" applyBorder="1" applyAlignment="1">
      <alignment horizontal="center" vertical="center" wrapText="1"/>
    </xf>
    <xf numFmtId="17" fontId="11" fillId="6" borderId="26" xfId="0" applyNumberFormat="1" applyFont="1" applyFill="1" applyBorder="1" applyAlignment="1">
      <alignment horizontal="center" vertical="center" wrapText="1"/>
    </xf>
    <xf numFmtId="165" fontId="8" fillId="0" borderId="12" xfId="0" applyNumberFormat="1" applyFont="1" applyBorder="1" applyAlignment="1">
      <alignment horizontal="center" vertical="center" wrapText="1"/>
    </xf>
    <xf numFmtId="17" fontId="8" fillId="0" borderId="12" xfId="0" applyNumberFormat="1" applyFont="1" applyBorder="1" applyAlignment="1">
      <alignment horizontal="center" vertical="center" wrapText="1"/>
    </xf>
    <xf numFmtId="15" fontId="8" fillId="0" borderId="12" xfId="0" applyNumberFormat="1" applyFont="1" applyBorder="1" applyAlignment="1">
      <alignment horizontal="center" vertical="center" wrapText="1"/>
    </xf>
    <xf numFmtId="17" fontId="23" fillId="0" borderId="22" xfId="0" applyNumberFormat="1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64" fontId="0" fillId="0" borderId="58" xfId="0" applyNumberFormat="1" applyBorder="1" applyAlignment="1">
      <alignment horizontal="center" vertical="center" wrapText="1"/>
    </xf>
    <xf numFmtId="165" fontId="12" fillId="6" borderId="29" xfId="0" applyNumberFormat="1" applyFont="1" applyFill="1" applyBorder="1" applyAlignment="1">
      <alignment horizontal="center" vertical="center" wrapText="1"/>
    </xf>
    <xf numFmtId="17" fontId="23" fillId="6" borderId="30" xfId="0" applyNumberFormat="1" applyFont="1" applyFill="1" applyBorder="1" applyAlignment="1">
      <alignment horizontal="center" vertical="center" wrapText="1"/>
    </xf>
    <xf numFmtId="165" fontId="5" fillId="0" borderId="24" xfId="0" applyNumberFormat="1" applyFont="1" applyBorder="1" applyAlignment="1">
      <alignment horizontal="center" vertical="center" wrapText="1"/>
    </xf>
    <xf numFmtId="165" fontId="12" fillId="6" borderId="71" xfId="0" applyNumberFormat="1" applyFont="1" applyFill="1" applyBorder="1" applyAlignment="1">
      <alignment horizontal="center" vertical="center" wrapText="1"/>
    </xf>
    <xf numFmtId="165" fontId="5" fillId="0" borderId="39" xfId="0" applyNumberFormat="1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164" fontId="0" fillId="0" borderId="72" xfId="0" applyNumberFormat="1" applyBorder="1" applyAlignment="1">
      <alignment horizontal="center" vertical="center" wrapText="1"/>
    </xf>
    <xf numFmtId="165" fontId="8" fillId="0" borderId="27" xfId="0" applyNumberFormat="1" applyFont="1" applyBorder="1" applyAlignment="1">
      <alignment horizontal="center" vertical="center" wrapText="1"/>
    </xf>
    <xf numFmtId="17" fontId="8" fillId="0" borderId="27" xfId="0" applyNumberFormat="1" applyFont="1" applyBorder="1" applyAlignment="1">
      <alignment horizontal="center" vertical="center" wrapText="1"/>
    </xf>
    <xf numFmtId="15" fontId="8" fillId="0" borderId="27" xfId="0" applyNumberFormat="1" applyFont="1" applyBorder="1" applyAlignment="1">
      <alignment horizontal="center" vertical="center" wrapText="1"/>
    </xf>
    <xf numFmtId="0" fontId="24" fillId="13" borderId="47" xfId="0" applyFont="1" applyFill="1" applyBorder="1" applyAlignment="1">
      <alignment horizontal="center" vertical="center" wrapText="1"/>
    </xf>
    <xf numFmtId="0" fontId="24" fillId="13" borderId="49" xfId="0" applyFont="1" applyFill="1" applyBorder="1" applyAlignment="1">
      <alignment horizontal="center" vertical="center" wrapText="1"/>
    </xf>
    <xf numFmtId="15" fontId="24" fillId="13" borderId="72" xfId="0" applyNumberFormat="1" applyFont="1" applyFill="1" applyBorder="1" applyAlignment="1">
      <alignment horizontal="center" vertical="center" wrapText="1"/>
    </xf>
    <xf numFmtId="164" fontId="24" fillId="13" borderId="47" xfId="0" applyNumberFormat="1" applyFont="1" applyFill="1" applyBorder="1" applyAlignment="1">
      <alignment horizontal="center" vertical="center" wrapText="1"/>
    </xf>
    <xf numFmtId="164" fontId="24" fillId="13" borderId="49" xfId="0" applyNumberFormat="1" applyFont="1" applyFill="1" applyBorder="1" applyAlignment="1">
      <alignment horizontal="center" vertical="center" wrapText="1"/>
    </xf>
    <xf numFmtId="165" fontId="24" fillId="13" borderId="49" xfId="0" applyNumberFormat="1" applyFont="1" applyFill="1" applyBorder="1" applyAlignment="1">
      <alignment horizontal="center" vertical="center" wrapText="1"/>
    </xf>
    <xf numFmtId="0" fontId="24" fillId="13" borderId="73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17" fontId="12" fillId="6" borderId="14" xfId="0" applyNumberFormat="1" applyFont="1" applyFill="1" applyBorder="1" applyAlignment="1">
      <alignment horizontal="center" vertical="center" wrapText="1"/>
    </xf>
    <xf numFmtId="15" fontId="12" fillId="6" borderId="14" xfId="0" applyNumberFormat="1" applyFont="1" applyFill="1" applyBorder="1" applyAlignment="1">
      <alignment horizontal="center" vertical="center" wrapText="1"/>
    </xf>
    <xf numFmtId="165" fontId="9" fillId="3" borderId="36" xfId="0" applyNumberFormat="1" applyFont="1" applyFill="1" applyBorder="1" applyAlignment="1">
      <alignment horizontal="center" vertical="center" wrapText="1"/>
    </xf>
    <xf numFmtId="43" fontId="9" fillId="0" borderId="27" xfId="1" applyFont="1" applyFill="1" applyBorder="1" applyAlignment="1">
      <alignment horizontal="center" vertical="center" wrapText="1"/>
    </xf>
    <xf numFmtId="165" fontId="12" fillId="6" borderId="29" xfId="1" applyNumberFormat="1" applyFont="1" applyFill="1" applyBorder="1" applyAlignment="1">
      <alignment horizontal="center" vertical="center" wrapText="1"/>
    </xf>
    <xf numFmtId="0" fontId="12" fillId="6" borderId="29" xfId="0" applyFont="1" applyFill="1" applyBorder="1" applyAlignment="1">
      <alignment horizontal="center" vertical="center" wrapText="1"/>
    </xf>
    <xf numFmtId="17" fontId="12" fillId="6" borderId="29" xfId="0" applyNumberFormat="1" applyFont="1" applyFill="1" applyBorder="1" applyAlignment="1">
      <alignment horizontal="center" vertical="center" wrapText="1"/>
    </xf>
    <xf numFmtId="15" fontId="12" fillId="6" borderId="29" xfId="0" applyNumberFormat="1" applyFont="1" applyFill="1" applyBorder="1" applyAlignment="1">
      <alignment horizontal="center" vertical="center" wrapText="1"/>
    </xf>
    <xf numFmtId="17" fontId="12" fillId="6" borderId="74" xfId="0" applyNumberFormat="1" applyFont="1" applyFill="1" applyBorder="1" applyAlignment="1">
      <alignment horizontal="center" vertical="center" wrapText="1"/>
    </xf>
    <xf numFmtId="165" fontId="12" fillId="6" borderId="40" xfId="0" applyNumberFormat="1" applyFont="1" applyFill="1" applyBorder="1" applyAlignment="1">
      <alignment horizontal="center" vertical="center" wrapText="1"/>
    </xf>
    <xf numFmtId="165" fontId="0" fillId="3" borderId="15" xfId="0" applyNumberFormat="1" applyFill="1" applyBorder="1" applyAlignment="1">
      <alignment horizontal="center" vertical="center" wrapText="1"/>
    </xf>
    <xf numFmtId="165" fontId="8" fillId="3" borderId="50" xfId="0" applyNumberFormat="1" applyFont="1" applyFill="1" applyBorder="1" applyAlignment="1">
      <alignment horizontal="center" vertical="center" wrapText="1"/>
    </xf>
    <xf numFmtId="165" fontId="10" fillId="3" borderId="15" xfId="0" applyNumberFormat="1" applyFont="1" applyFill="1" applyBorder="1" applyAlignment="1">
      <alignment horizontal="center" vertical="center" wrapText="1"/>
    </xf>
    <xf numFmtId="165" fontId="9" fillId="3" borderId="50" xfId="0" applyNumberFormat="1" applyFont="1" applyFill="1" applyBorder="1" applyAlignment="1">
      <alignment horizontal="center" vertical="center" wrapText="1"/>
    </xf>
    <xf numFmtId="17" fontId="15" fillId="6" borderId="7" xfId="0" applyNumberFormat="1" applyFont="1" applyFill="1" applyBorder="1" applyAlignment="1">
      <alignment horizontal="center" vertical="center" wrapText="1"/>
    </xf>
    <xf numFmtId="165" fontId="10" fillId="3" borderId="44" xfId="0" applyNumberFormat="1" applyFont="1" applyFill="1" applyBorder="1" applyAlignment="1">
      <alignment horizontal="center" vertical="center" wrapText="1"/>
    </xf>
    <xf numFmtId="165" fontId="18" fillId="0" borderId="29" xfId="0" applyNumberFormat="1" applyFont="1" applyBorder="1" applyAlignment="1">
      <alignment horizontal="center" vertical="center" wrapText="1"/>
    </xf>
    <xf numFmtId="165" fontId="18" fillId="0" borderId="29" xfId="1" applyNumberFormat="1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17" fontId="18" fillId="0" borderId="29" xfId="0" applyNumberFormat="1" applyFont="1" applyBorder="1" applyAlignment="1">
      <alignment horizontal="center" vertical="center" wrapText="1"/>
    </xf>
    <xf numFmtId="15" fontId="18" fillId="0" borderId="29" xfId="0" applyNumberFormat="1" applyFont="1" applyBorder="1" applyAlignment="1">
      <alignment horizontal="center" vertical="center" wrapText="1"/>
    </xf>
    <xf numFmtId="17" fontId="18" fillId="0" borderId="74" xfId="0" applyNumberFormat="1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 wrapText="1"/>
    </xf>
    <xf numFmtId="17" fontId="5" fillId="0" borderId="6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7" fontId="5" fillId="7" borderId="16" xfId="0" applyNumberFormat="1" applyFont="1" applyFill="1" applyBorder="1" applyAlignment="1">
      <alignment horizontal="center" vertical="center" wrapText="1"/>
    </xf>
    <xf numFmtId="165" fontId="5" fillId="0" borderId="15" xfId="1" applyNumberFormat="1" applyFont="1" applyFill="1" applyBorder="1" applyAlignment="1">
      <alignment horizontal="center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165" fontId="18" fillId="7" borderId="15" xfId="0" applyNumberFormat="1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horizontal="center" vertical="center" wrapText="1"/>
    </xf>
    <xf numFmtId="17" fontId="18" fillId="7" borderId="14" xfId="0" applyNumberFormat="1" applyFont="1" applyFill="1" applyBorder="1" applyAlignment="1">
      <alignment horizontal="center" vertical="center" wrapText="1"/>
    </xf>
    <xf numFmtId="17" fontId="18" fillId="7" borderId="16" xfId="0" applyNumberFormat="1" applyFont="1" applyFill="1" applyBorder="1" applyAlignment="1">
      <alignment horizontal="center" vertical="center" wrapText="1"/>
    </xf>
    <xf numFmtId="0" fontId="18" fillId="7" borderId="43" xfId="0" applyFont="1" applyFill="1" applyBorder="1" applyAlignment="1">
      <alignment horizontal="center" vertical="center" wrapText="1"/>
    </xf>
    <xf numFmtId="15" fontId="25" fillId="0" borderId="15" xfId="0" applyNumberFormat="1" applyFont="1" applyBorder="1" applyAlignment="1">
      <alignment horizontal="center" vertical="center" wrapText="1"/>
    </xf>
    <xf numFmtId="165" fontId="5" fillId="0" borderId="18" xfId="0" applyNumberFormat="1" applyFont="1" applyBorder="1" applyAlignment="1">
      <alignment horizontal="center" vertical="center" wrapText="1"/>
    </xf>
    <xf numFmtId="165" fontId="5" fillId="0" borderId="18" xfId="1" applyNumberFormat="1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17" fontId="5" fillId="0" borderId="18" xfId="0" applyNumberFormat="1" applyFont="1" applyBorder="1" applyAlignment="1">
      <alignment horizontal="center" vertical="center" wrapText="1"/>
    </xf>
    <xf numFmtId="169" fontId="5" fillId="0" borderId="18" xfId="0" applyNumberFormat="1" applyFont="1" applyBorder="1" applyAlignment="1">
      <alignment horizontal="center" vertical="center" wrapText="1"/>
    </xf>
    <xf numFmtId="17" fontId="5" fillId="0" borderId="20" xfId="0" applyNumberFormat="1" applyFont="1" applyBorder="1" applyAlignment="1">
      <alignment horizontal="center" vertical="center" wrapText="1"/>
    </xf>
    <xf numFmtId="43" fontId="8" fillId="0" borderId="22" xfId="1" applyFont="1" applyBorder="1" applyAlignment="1">
      <alignment horizontal="center" vertical="center" wrapText="1"/>
    </xf>
    <xf numFmtId="164" fontId="12" fillId="6" borderId="29" xfId="0" applyNumberFormat="1" applyFont="1" applyFill="1" applyBorder="1" applyAlignment="1">
      <alignment horizontal="center" vertical="center" wrapText="1"/>
    </xf>
    <xf numFmtId="165" fontId="12" fillId="6" borderId="29" xfId="0" applyNumberFormat="1" applyFont="1" applyFill="1" applyBorder="1" applyAlignment="1">
      <alignment horizontal="center" vertical="center" wrapText="1"/>
    </xf>
    <xf numFmtId="166" fontId="12" fillId="6" borderId="29" xfId="0" applyNumberFormat="1" applyFont="1" applyFill="1" applyBorder="1" applyAlignment="1">
      <alignment horizontal="center" vertical="center" wrapText="1"/>
    </xf>
    <xf numFmtId="165" fontId="12" fillId="6" borderId="6" xfId="0" applyNumberFormat="1" applyFont="1" applyFill="1" applyBorder="1" applyAlignment="1">
      <alignment horizontal="center" vertical="center" wrapText="1"/>
    </xf>
    <xf numFmtId="17" fontId="12" fillId="6" borderId="6" xfId="0" applyNumberFormat="1" applyFont="1" applyFill="1" applyBorder="1" applyAlignment="1">
      <alignment horizontal="center" vertical="center" wrapText="1"/>
    </xf>
    <xf numFmtId="164" fontId="12" fillId="6" borderId="6" xfId="0" applyNumberFormat="1" applyFont="1" applyFill="1" applyBorder="1" applyAlignment="1">
      <alignment horizontal="center" vertical="center" wrapText="1"/>
    </xf>
    <xf numFmtId="165" fontId="12" fillId="6" borderId="24" xfId="0" applyNumberFormat="1" applyFont="1" applyFill="1" applyBorder="1" applyAlignment="1">
      <alignment horizontal="center" vertical="center" wrapText="1"/>
    </xf>
    <xf numFmtId="0" fontId="12" fillId="6" borderId="43" xfId="0" applyFont="1" applyFill="1" applyBorder="1" applyAlignment="1">
      <alignment horizontal="center" vertical="center" wrapText="1"/>
    </xf>
    <xf numFmtId="164" fontId="12" fillId="6" borderId="14" xfId="0" applyNumberFormat="1" applyFont="1" applyFill="1" applyBorder="1" applyAlignment="1">
      <alignment horizontal="center" vertical="center" wrapText="1"/>
    </xf>
    <xf numFmtId="17" fontId="5" fillId="0" borderId="7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7" fontId="5" fillId="0" borderId="16" xfId="0" applyNumberFormat="1" applyFont="1" applyBorder="1" applyAlignment="1">
      <alignment horizontal="center" vertical="center" wrapText="1"/>
    </xf>
    <xf numFmtId="17" fontId="10" fillId="3" borderId="22" xfId="0" applyNumberFormat="1" applyFont="1" applyFill="1" applyBorder="1" applyAlignment="1">
      <alignment horizontal="center" vertical="center" wrapText="1"/>
    </xf>
    <xf numFmtId="15" fontId="10" fillId="3" borderId="44" xfId="0" applyNumberFormat="1" applyFont="1" applyFill="1" applyBorder="1" applyAlignment="1">
      <alignment horizontal="center" vertical="center" wrapText="1"/>
    </xf>
    <xf numFmtId="164" fontId="9" fillId="0" borderId="12" xfId="1" applyNumberFormat="1" applyFont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4" fillId="13" borderId="70" xfId="0" applyFont="1" applyFill="1" applyBorder="1" applyAlignment="1">
      <alignment horizontal="center" vertical="center" wrapText="1"/>
    </xf>
    <xf numFmtId="0" fontId="24" fillId="13" borderId="72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6" fillId="0" borderId="69" xfId="0" applyFont="1" applyBorder="1" applyAlignment="1">
      <alignment horizontal="centerContinuous" vertical="center" wrapText="1"/>
    </xf>
    <xf numFmtId="0" fontId="0" fillId="0" borderId="2" xfId="0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168" fontId="12" fillId="6" borderId="3" xfId="0" applyNumberFormat="1" applyFont="1" applyFill="1" applyBorder="1" applyAlignment="1">
      <alignment horizontal="center" vertical="center" wrapText="1"/>
    </xf>
    <xf numFmtId="168" fontId="12" fillId="6" borderId="29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9" fillId="0" borderId="75" xfId="0" applyNumberFormat="1" applyFont="1" applyBorder="1" applyAlignment="1">
      <alignment horizontal="center" vertical="center" wrapText="1"/>
    </xf>
    <xf numFmtId="168" fontId="5" fillId="0" borderId="6" xfId="0" applyNumberFormat="1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168" fontId="9" fillId="0" borderId="12" xfId="1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17" fontId="23" fillId="0" borderId="12" xfId="0" applyNumberFormat="1" applyFont="1" applyBorder="1" applyAlignment="1">
      <alignment horizontal="center" vertical="center" wrapText="1"/>
    </xf>
    <xf numFmtId="15" fontId="23" fillId="0" borderId="12" xfId="0" applyNumberFormat="1" applyFont="1" applyBorder="1" applyAlignment="1">
      <alignment horizontal="center" vertical="center" wrapText="1"/>
    </xf>
    <xf numFmtId="164" fontId="9" fillId="0" borderId="29" xfId="0" applyNumberFormat="1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 wrapText="1"/>
    </xf>
    <xf numFmtId="165" fontId="5" fillId="0" borderId="46" xfId="0" applyNumberFormat="1" applyFont="1" applyBorder="1" applyAlignment="1">
      <alignment horizontal="center" vertical="center" wrapText="1"/>
    </xf>
    <xf numFmtId="17" fontId="27" fillId="0" borderId="3" xfId="0" applyNumberFormat="1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164" fontId="9" fillId="0" borderId="12" xfId="0" applyNumberFormat="1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164" fontId="9" fillId="0" borderId="27" xfId="0" applyNumberFormat="1" applyFont="1" applyBorder="1" applyAlignment="1">
      <alignment horizontal="center" vertical="center" wrapText="1"/>
    </xf>
    <xf numFmtId="168" fontId="22" fillId="0" borderId="27" xfId="0" applyNumberFormat="1" applyFont="1" applyBorder="1" applyAlignment="1">
      <alignment horizontal="center" vertical="center" wrapText="1"/>
    </xf>
    <xf numFmtId="165" fontId="22" fillId="0" borderId="27" xfId="0" applyNumberFormat="1" applyFont="1" applyBorder="1" applyAlignment="1">
      <alignment horizontal="center" vertical="center" wrapText="1"/>
    </xf>
    <xf numFmtId="17" fontId="22" fillId="0" borderId="27" xfId="0" applyNumberFormat="1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166" fontId="22" fillId="0" borderId="27" xfId="0" applyNumberFormat="1" applyFont="1" applyBorder="1" applyAlignment="1">
      <alignment horizontal="center" vertical="center" wrapText="1"/>
    </xf>
    <xf numFmtId="17" fontId="28" fillId="0" borderId="28" xfId="0" applyNumberFormat="1" applyFont="1" applyBorder="1" applyAlignment="1">
      <alignment horizontal="center" vertical="center" wrapText="1"/>
    </xf>
    <xf numFmtId="168" fontId="22" fillId="0" borderId="12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4" fillId="13" borderId="9" xfId="0" applyFont="1" applyFill="1" applyBorder="1" applyAlignment="1">
      <alignment horizontal="center" vertical="center" wrapText="1"/>
    </xf>
    <xf numFmtId="164" fontId="24" fillId="13" borderId="9" xfId="0" applyNumberFormat="1" applyFont="1" applyFill="1" applyBorder="1" applyAlignment="1">
      <alignment horizontal="center" vertical="center" wrapText="1"/>
    </xf>
    <xf numFmtId="165" fontId="24" fillId="13" borderId="9" xfId="0" applyNumberFormat="1" applyFont="1" applyFill="1" applyBorder="1" applyAlignment="1">
      <alignment horizontal="center" vertical="center" wrapText="1"/>
    </xf>
    <xf numFmtId="0" fontId="24" fillId="13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3" borderId="0" xfId="0" applyFont="1" applyFill="1" applyAlignment="1">
      <alignment horizontal="left" vertical="center"/>
    </xf>
    <xf numFmtId="0" fontId="29" fillId="6" borderId="0" xfId="0" applyFont="1" applyFill="1" applyAlignment="1">
      <alignment horizontal="left" vertical="center"/>
    </xf>
    <xf numFmtId="4" fontId="0" fillId="0" borderId="0" xfId="0" applyNumberFormat="1" applyAlignment="1">
      <alignment horizontal="center" vertical="center" wrapText="1"/>
    </xf>
    <xf numFmtId="0" fontId="25" fillId="7" borderId="0" xfId="0" applyFont="1" applyFill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30" fillId="7" borderId="0" xfId="0" applyFont="1" applyFill="1" applyAlignment="1">
      <alignment horizontal="left" vertical="center"/>
    </xf>
    <xf numFmtId="0" fontId="31" fillId="2" borderId="1" xfId="0" applyFont="1" applyFill="1" applyBorder="1" applyAlignment="1">
      <alignment horizontal="center" vertical="center" wrapText="1"/>
    </xf>
    <xf numFmtId="0" fontId="31" fillId="2" borderId="78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164" fontId="8" fillId="3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79" xfId="0" applyFill="1" applyBorder="1" applyAlignment="1">
      <alignment horizontal="center" vertical="center" wrapText="1"/>
    </xf>
    <xf numFmtId="43" fontId="10" fillId="3" borderId="15" xfId="0" applyNumberFormat="1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 wrapText="1"/>
    </xf>
    <xf numFmtId="164" fontId="8" fillId="3" borderId="15" xfId="0" applyNumberFormat="1" applyFont="1" applyFill="1" applyBorder="1" applyAlignment="1">
      <alignment horizontal="center" vertical="center" wrapText="1"/>
    </xf>
    <xf numFmtId="43" fontId="8" fillId="3" borderId="15" xfId="0" applyNumberFormat="1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 wrapText="1"/>
    </xf>
    <xf numFmtId="43" fontId="10" fillId="3" borderId="76" xfId="1" applyFont="1" applyFill="1" applyBorder="1" applyAlignment="1">
      <alignment horizontal="center" vertical="center" wrapText="1"/>
    </xf>
    <xf numFmtId="0" fontId="10" fillId="3" borderId="76" xfId="0" applyFont="1" applyFill="1" applyBorder="1" applyAlignment="1">
      <alignment horizontal="left" vertical="center" wrapText="1"/>
    </xf>
    <xf numFmtId="0" fontId="10" fillId="3" borderId="76" xfId="0" applyFont="1" applyFill="1" applyBorder="1" applyAlignment="1">
      <alignment horizontal="center" vertical="center" wrapText="1"/>
    </xf>
    <xf numFmtId="0" fontId="8" fillId="3" borderId="76" xfId="0" applyFont="1" applyFill="1" applyBorder="1" applyAlignment="1">
      <alignment horizontal="center" vertical="center" wrapText="1"/>
    </xf>
    <xf numFmtId="164" fontId="10" fillId="3" borderId="76" xfId="0" applyNumberFormat="1" applyFont="1" applyFill="1" applyBorder="1" applyAlignment="1">
      <alignment horizontal="center" vertical="center" wrapText="1"/>
    </xf>
    <xf numFmtId="165" fontId="10" fillId="3" borderId="76" xfId="0" applyNumberFormat="1" applyFont="1" applyFill="1" applyBorder="1" applyAlignment="1">
      <alignment horizontal="center" vertical="center" wrapText="1"/>
    </xf>
    <xf numFmtId="17" fontId="10" fillId="3" borderId="77" xfId="0" applyNumberFormat="1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left" vertical="center" wrapText="1"/>
    </xf>
    <xf numFmtId="0" fontId="8" fillId="3" borderId="50" xfId="0" applyFont="1" applyFill="1" applyBorder="1" applyAlignment="1">
      <alignment horizontal="center" vertical="center" wrapText="1"/>
    </xf>
    <xf numFmtId="164" fontId="8" fillId="3" borderId="14" xfId="0" applyNumberFormat="1" applyFont="1" applyFill="1" applyBorder="1" applyAlignment="1">
      <alignment horizontal="center" vertical="center" wrapText="1"/>
    </xf>
    <xf numFmtId="43" fontId="8" fillId="3" borderId="14" xfId="1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left" vertical="center" wrapText="1"/>
    </xf>
    <xf numFmtId="0" fontId="8" fillId="3" borderId="36" xfId="0" applyFont="1" applyFill="1" applyBorder="1" applyAlignment="1">
      <alignment horizontal="center" vertical="center" wrapText="1"/>
    </xf>
    <xf numFmtId="43" fontId="8" fillId="3" borderId="15" xfId="1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horizontal="center" vertical="center" wrapText="1"/>
    </xf>
    <xf numFmtId="43" fontId="8" fillId="3" borderId="6" xfId="1" applyFont="1" applyFill="1" applyBorder="1" applyAlignment="1">
      <alignment horizontal="center" vertical="center" wrapText="1"/>
    </xf>
    <xf numFmtId="17" fontId="8" fillId="3" borderId="7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9" fillId="3" borderId="27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43" fontId="10" fillId="3" borderId="33" xfId="1" applyFont="1" applyFill="1" applyBorder="1" applyAlignment="1">
      <alignment horizontal="center" vertical="center" wrapText="1"/>
    </xf>
    <xf numFmtId="0" fontId="23" fillId="6" borderId="33" xfId="0" applyFont="1" applyFill="1" applyBorder="1" applyAlignment="1">
      <alignment horizontal="left" vertical="center" wrapText="1"/>
    </xf>
    <xf numFmtId="0" fontId="10" fillId="3" borderId="69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164" fontId="10" fillId="3" borderId="3" xfId="0" applyNumberFormat="1" applyFont="1" applyFill="1" applyBorder="1" applyAlignment="1">
      <alignment horizontal="center" vertical="center" wrapText="1"/>
    </xf>
    <xf numFmtId="165" fontId="10" fillId="3" borderId="3" xfId="0" applyNumberFormat="1" applyFont="1" applyFill="1" applyBorder="1" applyAlignment="1">
      <alignment horizontal="center" vertical="center" wrapText="1"/>
    </xf>
    <xf numFmtId="43" fontId="10" fillId="3" borderId="3" xfId="1" applyFont="1" applyFill="1" applyBorder="1" applyAlignment="1">
      <alignment horizontal="center" vertical="center" wrapText="1"/>
    </xf>
    <xf numFmtId="169" fontId="10" fillId="3" borderId="3" xfId="1" applyNumberFormat="1" applyFont="1" applyFill="1" applyBorder="1" applyAlignment="1">
      <alignment horizontal="center" vertical="center" wrapText="1"/>
    </xf>
    <xf numFmtId="17" fontId="10" fillId="3" borderId="34" xfId="0" applyNumberFormat="1" applyFont="1" applyFill="1" applyBorder="1" applyAlignment="1">
      <alignment horizontal="center" vertical="center" wrapText="1"/>
    </xf>
    <xf numFmtId="0" fontId="12" fillId="6" borderId="79" xfId="0" applyFont="1" applyFill="1" applyBorder="1" applyAlignment="1">
      <alignment horizontal="center" vertical="center" wrapText="1"/>
    </xf>
    <xf numFmtId="43" fontId="12" fillId="6" borderId="36" xfId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left" vertical="center" wrapText="1"/>
    </xf>
    <xf numFmtId="0" fontId="12" fillId="6" borderId="15" xfId="0" applyFont="1" applyFill="1" applyBorder="1" applyAlignment="1">
      <alignment horizontal="center" vertical="center" wrapText="1"/>
    </xf>
    <xf numFmtId="165" fontId="12" fillId="6" borderId="36" xfId="0" applyNumberFormat="1" applyFont="1" applyFill="1" applyBorder="1" applyAlignment="1">
      <alignment horizontal="center" vertical="center" wrapText="1"/>
    </xf>
    <xf numFmtId="43" fontId="12" fillId="6" borderId="15" xfId="1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23" xfId="0" applyFont="1" applyFill="1" applyBorder="1" applyAlignment="1">
      <alignment horizontal="center" vertical="center" wrapText="1"/>
    </xf>
    <xf numFmtId="43" fontId="12" fillId="6" borderId="24" xfId="1" applyFont="1" applyFill="1" applyBorder="1" applyAlignment="1">
      <alignment horizontal="center" vertical="center" wrapText="1"/>
    </xf>
    <xf numFmtId="0" fontId="23" fillId="6" borderId="41" xfId="0" applyFont="1" applyFill="1" applyBorder="1" applyAlignment="1">
      <alignment horizontal="left" vertical="center" wrapText="1"/>
    </xf>
    <xf numFmtId="164" fontId="12" fillId="6" borderId="6" xfId="0" applyNumberFormat="1" applyFont="1" applyFill="1" applyBorder="1" applyAlignment="1">
      <alignment horizontal="center" vertical="center" wrapText="1"/>
    </xf>
    <xf numFmtId="43" fontId="12" fillId="6" borderId="6" xfId="1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43" fontId="5" fillId="0" borderId="3" xfId="1" applyFont="1" applyBorder="1" applyAlignment="1">
      <alignment horizontal="center" vertical="center" wrapText="1"/>
    </xf>
    <xf numFmtId="169" fontId="5" fillId="0" borderId="3" xfId="1" applyNumberFormat="1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164" fontId="5" fillId="0" borderId="15" xfId="0" applyNumberFormat="1" applyFont="1" applyBorder="1" applyAlignment="1">
      <alignment horizontal="center" vertical="center" wrapText="1"/>
    </xf>
    <xf numFmtId="43" fontId="5" fillId="0" borderId="15" xfId="1" applyFont="1" applyBorder="1" applyAlignment="1">
      <alignment horizontal="center" vertical="center" wrapText="1"/>
    </xf>
    <xf numFmtId="169" fontId="5" fillId="0" borderId="15" xfId="1" applyNumberFormat="1" applyFont="1" applyBorder="1" applyAlignment="1">
      <alignment horizontal="center" vertical="center" wrapText="1"/>
    </xf>
    <xf numFmtId="43" fontId="5" fillId="0" borderId="15" xfId="1" applyFont="1" applyFill="1" applyBorder="1" applyAlignment="1">
      <alignment horizontal="center" vertical="center" wrapText="1"/>
    </xf>
    <xf numFmtId="169" fontId="5" fillId="0" borderId="15" xfId="1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7" fontId="3" fillId="0" borderId="16" xfId="0" applyNumberFormat="1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43" fontId="5" fillId="0" borderId="6" xfId="1" applyFont="1" applyFill="1" applyBorder="1" applyAlignment="1">
      <alignment horizontal="center" vertical="center" wrapText="1"/>
    </xf>
    <xf numFmtId="169" fontId="5" fillId="0" borderId="6" xfId="1" applyNumberFormat="1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left" vertical="center" wrapText="1"/>
    </xf>
    <xf numFmtId="0" fontId="23" fillId="6" borderId="15" xfId="0" applyFont="1" applyFill="1" applyBorder="1" applyAlignment="1">
      <alignment horizontal="left" vertical="center" wrapText="1"/>
    </xf>
    <xf numFmtId="169" fontId="12" fillId="6" borderId="15" xfId="1" applyNumberFormat="1" applyFont="1" applyFill="1" applyBorder="1" applyAlignment="1">
      <alignment horizontal="center" vertical="center" wrapText="1"/>
    </xf>
    <xf numFmtId="0" fontId="5" fillId="7" borderId="80" xfId="0" applyFont="1" applyFill="1" applyBorder="1" applyAlignment="1">
      <alignment horizontal="center" vertical="center" wrapText="1"/>
    </xf>
    <xf numFmtId="0" fontId="5" fillId="7" borderId="76" xfId="0" applyFont="1" applyFill="1" applyBorder="1" applyAlignment="1">
      <alignment horizontal="center" vertical="center" wrapText="1"/>
    </xf>
    <xf numFmtId="0" fontId="5" fillId="0" borderId="76" xfId="0" applyFont="1" applyBorder="1" applyAlignment="1">
      <alignment horizontal="left" vertical="center" wrapText="1"/>
    </xf>
    <xf numFmtId="0" fontId="5" fillId="0" borderId="76" xfId="0" applyFont="1" applyBorder="1" applyAlignment="1">
      <alignment horizontal="center" vertical="center" wrapText="1"/>
    </xf>
    <xf numFmtId="164" fontId="5" fillId="0" borderId="76" xfId="0" applyNumberFormat="1" applyFont="1" applyBorder="1" applyAlignment="1">
      <alignment horizontal="center" vertical="center" wrapText="1"/>
    </xf>
    <xf numFmtId="165" fontId="5" fillId="0" borderId="76" xfId="0" applyNumberFormat="1" applyFont="1" applyBorder="1" applyAlignment="1">
      <alignment horizontal="center" vertical="center" wrapText="1"/>
    </xf>
    <xf numFmtId="43" fontId="5" fillId="0" borderId="76" xfId="1" applyFont="1" applyBorder="1" applyAlignment="1">
      <alignment horizontal="center" vertical="center" wrapText="1"/>
    </xf>
    <xf numFmtId="169" fontId="5" fillId="0" borderId="76" xfId="1" applyNumberFormat="1" applyFont="1" applyBorder="1" applyAlignment="1">
      <alignment horizontal="center" vertical="center" wrapText="1"/>
    </xf>
    <xf numFmtId="17" fontId="5" fillId="0" borderId="77" xfId="0" applyNumberFormat="1" applyFont="1" applyBorder="1" applyAlignment="1">
      <alignment horizontal="center" vertical="center" wrapText="1"/>
    </xf>
    <xf numFmtId="0" fontId="33" fillId="3" borderId="1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left" vertical="center" wrapText="1"/>
    </xf>
    <xf numFmtId="164" fontId="9" fillId="3" borderId="12" xfId="0" applyNumberFormat="1" applyFont="1" applyFill="1" applyBorder="1" applyAlignment="1">
      <alignment horizontal="center" vertical="center" wrapText="1"/>
    </xf>
    <xf numFmtId="43" fontId="9" fillId="3" borderId="12" xfId="1" applyFont="1" applyFill="1" applyBorder="1" applyAlignment="1">
      <alignment horizontal="center" vertical="center" wrapText="1"/>
    </xf>
    <xf numFmtId="15" fontId="9" fillId="3" borderId="12" xfId="0" applyNumberFormat="1" applyFont="1" applyFill="1" applyBorder="1" applyAlignment="1">
      <alignment horizontal="center" vertical="center" wrapText="1"/>
    </xf>
    <xf numFmtId="17" fontId="9" fillId="3" borderId="22" xfId="0" applyNumberFormat="1" applyFont="1" applyFill="1" applyBorder="1" applyAlignment="1">
      <alignment horizontal="center" vertical="center" wrapText="1"/>
    </xf>
    <xf numFmtId="17" fontId="9" fillId="3" borderId="74" xfId="0" applyNumberFormat="1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12" fillId="6" borderId="15" xfId="0" applyFont="1" applyFill="1" applyBorder="1" applyAlignment="1">
      <alignment horizontal="left" vertical="center" wrapText="1"/>
    </xf>
    <xf numFmtId="0" fontId="15" fillId="6" borderId="79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164" fontId="15" fillId="6" borderId="15" xfId="0" applyNumberFormat="1" applyFont="1" applyFill="1" applyBorder="1" applyAlignment="1">
      <alignment horizontal="center" vertical="center" wrapText="1"/>
    </xf>
    <xf numFmtId="165" fontId="15" fillId="6" borderId="15" xfId="0" applyNumberFormat="1" applyFont="1" applyFill="1" applyBorder="1" applyAlignment="1">
      <alignment horizontal="center" vertical="center" wrapText="1"/>
    </xf>
    <xf numFmtId="43" fontId="15" fillId="6" borderId="15" xfId="1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left" vertical="center" wrapText="1"/>
    </xf>
    <xf numFmtId="164" fontId="15" fillId="6" borderId="6" xfId="0" applyNumberFormat="1" applyFont="1" applyFill="1" applyBorder="1" applyAlignment="1">
      <alignment horizontal="center" vertical="center" wrapText="1"/>
    </xf>
    <xf numFmtId="165" fontId="15" fillId="6" borderId="6" xfId="0" applyNumberFormat="1" applyFont="1" applyFill="1" applyBorder="1" applyAlignment="1">
      <alignment horizontal="center" vertical="center" wrapText="1"/>
    </xf>
    <xf numFmtId="43" fontId="15" fillId="6" borderId="6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15" fontId="5" fillId="5" borderId="3" xfId="0" applyNumberFormat="1" applyFont="1" applyFill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5" fillId="0" borderId="76" xfId="0" applyFont="1" applyBorder="1" applyAlignment="1">
      <alignment horizontal="left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5" borderId="76" xfId="0" applyFont="1" applyFill="1" applyBorder="1" applyAlignment="1">
      <alignment horizontal="center" vertical="center" wrapText="1"/>
    </xf>
    <xf numFmtId="15" fontId="5" fillId="5" borderId="76" xfId="0" applyNumberFormat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 wrapText="1"/>
    </xf>
    <xf numFmtId="43" fontId="5" fillId="0" borderId="14" xfId="1" applyFont="1" applyFill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center" vertical="center" wrapText="1"/>
    </xf>
    <xf numFmtId="15" fontId="5" fillId="0" borderId="76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15" fontId="5" fillId="5" borderId="12" xfId="0" applyNumberFormat="1" applyFont="1" applyFill="1" applyBorder="1" applyAlignment="1">
      <alignment horizontal="center" vertical="center" wrapText="1"/>
    </xf>
    <xf numFmtId="17" fontId="5" fillId="5" borderId="22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15" fontId="5" fillId="7" borderId="3" xfId="0" applyNumberFormat="1" applyFont="1" applyFill="1" applyBorder="1" applyAlignment="1">
      <alignment horizontal="center" vertical="center" wrapText="1"/>
    </xf>
    <xf numFmtId="17" fontId="5" fillId="7" borderId="34" xfId="0" applyNumberFormat="1" applyFont="1" applyFill="1" applyBorder="1" applyAlignment="1">
      <alignment horizontal="center" vertical="center" wrapText="1"/>
    </xf>
    <xf numFmtId="15" fontId="5" fillId="7" borderId="76" xfId="0" applyNumberFormat="1" applyFont="1" applyFill="1" applyBorder="1" applyAlignment="1">
      <alignment horizontal="center" vertical="center" wrapText="1"/>
    </xf>
    <xf numFmtId="17" fontId="5" fillId="7" borderId="77" xfId="0" applyNumberFormat="1" applyFont="1" applyFill="1" applyBorder="1" applyAlignment="1">
      <alignment horizontal="center" vertical="center" wrapText="1"/>
    </xf>
    <xf numFmtId="0" fontId="33" fillId="3" borderId="47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center" vertical="center" wrapText="1"/>
    </xf>
    <xf numFmtId="164" fontId="9" fillId="3" borderId="29" xfId="0" applyNumberFormat="1" applyFont="1" applyFill="1" applyBorder="1" applyAlignment="1">
      <alignment horizontal="center" vertical="center" wrapText="1"/>
    </xf>
    <xf numFmtId="165" fontId="9" fillId="3" borderId="29" xfId="0" applyNumberFormat="1" applyFont="1" applyFill="1" applyBorder="1" applyAlignment="1">
      <alignment horizontal="center" vertical="center" wrapText="1"/>
    </xf>
    <xf numFmtId="43" fontId="9" fillId="3" borderId="29" xfId="1" applyFont="1" applyFill="1" applyBorder="1" applyAlignment="1">
      <alignment horizontal="center" vertical="center" wrapText="1"/>
    </xf>
    <xf numFmtId="15" fontId="9" fillId="3" borderId="29" xfId="0" applyNumberFormat="1" applyFont="1" applyFill="1" applyBorder="1" applyAlignment="1">
      <alignment horizontal="center" vertical="center" wrapText="1"/>
    </xf>
    <xf numFmtId="0" fontId="9" fillId="3" borderId="70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left" vertical="center" wrapText="1"/>
    </xf>
    <xf numFmtId="0" fontId="9" fillId="3" borderId="49" xfId="0" applyFont="1" applyFill="1" applyBorder="1" applyAlignment="1">
      <alignment horizontal="center" vertical="center" wrapText="1"/>
    </xf>
    <xf numFmtId="164" fontId="9" fillId="3" borderId="49" xfId="0" applyNumberFormat="1" applyFont="1" applyFill="1" applyBorder="1" applyAlignment="1">
      <alignment horizontal="center" vertical="center" wrapText="1"/>
    </xf>
    <xf numFmtId="165" fontId="9" fillId="3" borderId="49" xfId="0" applyNumberFormat="1" applyFont="1" applyFill="1" applyBorder="1" applyAlignment="1">
      <alignment horizontal="center" vertical="center" wrapText="1"/>
    </xf>
    <xf numFmtId="43" fontId="9" fillId="3" borderId="49" xfId="1" applyFont="1" applyFill="1" applyBorder="1" applyAlignment="1">
      <alignment horizontal="center" vertical="center" wrapText="1"/>
    </xf>
    <xf numFmtId="15" fontId="9" fillId="3" borderId="49" xfId="0" applyNumberFormat="1" applyFont="1" applyFill="1" applyBorder="1" applyAlignment="1">
      <alignment horizontal="center" vertical="center" wrapText="1"/>
    </xf>
    <xf numFmtId="17" fontId="9" fillId="3" borderId="73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9" fillId="3" borderId="55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left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46" xfId="0" applyFont="1" applyFill="1" applyBorder="1" applyAlignment="1">
      <alignment horizontal="center" vertical="center" wrapText="1"/>
    </xf>
    <xf numFmtId="164" fontId="8" fillId="3" borderId="29" xfId="0" applyNumberFormat="1" applyFont="1" applyFill="1" applyBorder="1" applyAlignment="1">
      <alignment horizontal="center" vertical="center" wrapText="1"/>
    </xf>
    <xf numFmtId="165" fontId="8" fillId="3" borderId="29" xfId="0" applyNumberFormat="1" applyFont="1" applyFill="1" applyBorder="1" applyAlignment="1">
      <alignment horizontal="center" vertical="center" wrapText="1"/>
    </xf>
    <xf numFmtId="43" fontId="8" fillId="3" borderId="29" xfId="1" applyFont="1" applyFill="1" applyBorder="1" applyAlignment="1">
      <alignment horizontal="center" vertical="center" wrapText="1"/>
    </xf>
    <xf numFmtId="15" fontId="8" fillId="3" borderId="29" xfId="0" applyNumberFormat="1" applyFont="1" applyFill="1" applyBorder="1" applyAlignment="1">
      <alignment horizontal="center" vertical="center" wrapText="1"/>
    </xf>
    <xf numFmtId="17" fontId="8" fillId="3" borderId="74" xfId="0" applyNumberFormat="1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67" xfId="0" applyFont="1" applyFill="1" applyBorder="1" applyAlignment="1">
      <alignment horizontal="center" vertical="center" wrapText="1"/>
    </xf>
    <xf numFmtId="164" fontId="8" fillId="3" borderId="76" xfId="0" applyNumberFormat="1" applyFont="1" applyFill="1" applyBorder="1" applyAlignment="1">
      <alignment horizontal="center" vertical="center" wrapText="1"/>
    </xf>
    <xf numFmtId="165" fontId="8" fillId="3" borderId="76" xfId="0" applyNumberFormat="1" applyFont="1" applyFill="1" applyBorder="1" applyAlignment="1">
      <alignment horizontal="center" vertical="center" wrapText="1"/>
    </xf>
    <xf numFmtId="43" fontId="8" fillId="3" borderId="76" xfId="1" applyFont="1" applyFill="1" applyBorder="1" applyAlignment="1">
      <alignment horizontal="center" vertical="center" wrapText="1"/>
    </xf>
    <xf numFmtId="17" fontId="8" fillId="3" borderId="77" xfId="0" applyNumberFormat="1" applyFont="1" applyFill="1" applyBorder="1" applyAlignment="1">
      <alignment horizontal="center" vertical="center" wrapText="1"/>
    </xf>
    <xf numFmtId="168" fontId="12" fillId="6" borderId="25" xfId="0" applyNumberFormat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69" fontId="18" fillId="0" borderId="25" xfId="0" applyNumberFormat="1" applyFont="1" applyBorder="1" applyAlignment="1">
      <alignment horizontal="center" vertical="center" wrapText="1"/>
    </xf>
    <xf numFmtId="17" fontId="18" fillId="7" borderId="26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 wrapText="1"/>
    </xf>
    <xf numFmtId="15" fontId="5" fillId="0" borderId="18" xfId="0" applyNumberFormat="1" applyFont="1" applyBorder="1" applyAlignment="1">
      <alignment horizontal="center" vertical="center" wrapText="1"/>
    </xf>
    <xf numFmtId="17" fontId="23" fillId="6" borderId="20" xfId="0" applyNumberFormat="1" applyFont="1" applyFill="1" applyBorder="1" applyAlignment="1">
      <alignment horizontal="center" vertical="center" wrapText="1"/>
    </xf>
    <xf numFmtId="165" fontId="0" fillId="3" borderId="39" xfId="0" applyNumberFormat="1" applyFill="1" applyBorder="1" applyAlignment="1">
      <alignment horizontal="center" vertical="center" wrapText="1"/>
    </xf>
    <xf numFmtId="165" fontId="0" fillId="3" borderId="25" xfId="0" applyNumberForma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17" fontId="0" fillId="3" borderId="25" xfId="0" applyNumberFormat="1" applyFill="1" applyBorder="1" applyAlignment="1">
      <alignment horizontal="center" vertical="center" wrapText="1"/>
    </xf>
    <xf numFmtId="15" fontId="0" fillId="3" borderId="25" xfId="0" applyNumberFormat="1" applyFill="1" applyBorder="1" applyAlignment="1">
      <alignment horizontal="center" vertical="center" wrapText="1"/>
    </xf>
    <xf numFmtId="17" fontId="15" fillId="6" borderId="26" xfId="0" applyNumberFormat="1" applyFont="1" applyFill="1" applyBorder="1" applyAlignment="1">
      <alignment horizontal="center" vertical="center" wrapText="1"/>
    </xf>
    <xf numFmtId="168" fontId="5" fillId="0" borderId="25" xfId="0" applyNumberFormat="1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166" fontId="5" fillId="0" borderId="25" xfId="0" applyNumberFormat="1" applyFont="1" applyBorder="1" applyAlignment="1">
      <alignment horizontal="center" vertical="center" wrapText="1"/>
    </xf>
    <xf numFmtId="165" fontId="5" fillId="0" borderId="18" xfId="0" applyNumberFormat="1" applyFont="1" applyBorder="1" applyAlignment="1">
      <alignment horizontal="center" vertical="center" wrapText="1"/>
    </xf>
    <xf numFmtId="17" fontId="27" fillId="0" borderId="25" xfId="0" applyNumberFormat="1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165" fontId="5" fillId="0" borderId="19" xfId="0" applyNumberFormat="1" applyFont="1" applyBorder="1" applyAlignment="1">
      <alignment horizontal="center" vertical="center" wrapText="1"/>
    </xf>
    <xf numFmtId="17" fontId="27" fillId="0" borderId="18" xfId="0" applyNumberFormat="1" applyFont="1" applyBorder="1" applyAlignment="1">
      <alignment horizontal="center" vertical="center" wrapText="1"/>
    </xf>
    <xf numFmtId="166" fontId="5" fillId="0" borderId="18" xfId="0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numFmt numFmtId="1" formatCode="0"/>
    </dxf>
    <dxf>
      <font>
        <b/>
        <i/>
        <color rgb="FFFF0000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D4D513-F447-41DB-BEA1-5DC4E9A9F77C}">
  <we:reference id="wa200004935" version="6.0.0.0" store="en-GB" storeType="OMEX"/>
  <we:alternateReferences>
    <we:reference id="WA200004935" version="6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65FD-9B02-46C9-B18C-BF59212A5AFF}">
  <sheetPr>
    <tabColor theme="5" tint="0.59999389629810485"/>
    <pageSetUpPr fitToPage="1"/>
  </sheetPr>
  <dimension ref="A1:U240"/>
  <sheetViews>
    <sheetView zoomScale="66" zoomScaleNormal="100" workbookViewId="0">
      <pane ySplit="3" topLeftCell="A4" activePane="bottomLeft" state="frozen"/>
      <selection activeCell="M39" sqref="M39"/>
      <selection pane="bottomLeft" activeCell="K25" sqref="K25"/>
    </sheetView>
  </sheetViews>
  <sheetFormatPr defaultColWidth="8.58203125" defaultRowHeight="13.8"/>
  <cols>
    <col min="1" max="1" width="3.4140625" style="4" bestFit="1" customWidth="1"/>
    <col min="2" max="2" width="8.58203125" style="4" customWidth="1"/>
    <col min="3" max="3" width="6.08203125" style="4" bestFit="1" customWidth="1"/>
    <col min="4" max="4" width="0" style="4" hidden="1" customWidth="1"/>
    <col min="5" max="5" width="10.6640625" style="4" customWidth="1"/>
    <col min="6" max="6" width="11.58203125" style="4" customWidth="1"/>
    <col min="7" max="8" width="9.25" style="4" customWidth="1"/>
    <col min="9" max="9" width="11.6640625" style="4" customWidth="1"/>
    <col min="10" max="10" width="13.6640625" style="4" customWidth="1"/>
    <col min="11" max="11" width="36.25" style="4" customWidth="1"/>
    <col min="12" max="12" width="12.08203125" style="4" customWidth="1"/>
    <col min="13" max="13" width="18.6640625" style="4" bestFit="1" customWidth="1"/>
    <col min="14" max="14" width="8.9140625" style="4" bestFit="1" customWidth="1"/>
    <col min="15" max="15" width="8.9140625" style="4" customWidth="1"/>
    <col min="16" max="16" width="7.9140625" style="4" customWidth="1"/>
    <col min="17" max="17" width="10.9140625" style="4" customWidth="1"/>
    <col min="18" max="18" width="9.33203125" style="4" customWidth="1"/>
    <col min="19" max="19" width="9.83203125" style="5" customWidth="1"/>
    <col min="20" max="20" width="8.4140625" style="4" customWidth="1"/>
    <col min="21" max="21" width="8.4140625" style="4" bestFit="1" customWidth="1"/>
    <col min="22" max="16384" width="8.58203125" style="4"/>
  </cols>
  <sheetData>
    <row r="1" spans="1:21" ht="24" thickBot="1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3"/>
      <c r="U1" s="3"/>
    </row>
    <row r="2" spans="1:21" ht="16.8" hidden="1" thickBot="1">
      <c r="A2" s="6" t="s">
        <v>0</v>
      </c>
      <c r="B2" s="7" t="s">
        <v>1</v>
      </c>
      <c r="C2" s="8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2"/>
      <c r="U2" s="11"/>
    </row>
    <row r="3" spans="1:21" ht="39" customHeight="1" thickBot="1">
      <c r="A3" s="6"/>
      <c r="B3" s="7"/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9" t="s">
        <v>13</v>
      </c>
      <c r="O3" s="14" t="s">
        <v>14</v>
      </c>
      <c r="P3" s="14" t="s">
        <v>15</v>
      </c>
      <c r="Q3" s="14" t="s">
        <v>16</v>
      </c>
      <c r="R3" s="15" t="s">
        <v>17</v>
      </c>
      <c r="S3" s="16" t="s">
        <v>18</v>
      </c>
      <c r="T3" s="17" t="s">
        <v>19</v>
      </c>
      <c r="U3" s="5" t="s">
        <v>20</v>
      </c>
    </row>
    <row r="4" spans="1:21" ht="16.8" thickBot="1">
      <c r="A4" s="18" t="s">
        <v>21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/>
      <c r="S4" s="11"/>
      <c r="T4" s="12"/>
      <c r="U4" s="11"/>
    </row>
    <row r="5" spans="1:21">
      <c r="A5" s="21">
        <v>1</v>
      </c>
      <c r="B5" s="22" t="s">
        <v>22</v>
      </c>
      <c r="C5" s="23" t="s">
        <v>23</v>
      </c>
      <c r="D5" s="24" t="s">
        <v>24</v>
      </c>
      <c r="E5" s="25">
        <v>1000</v>
      </c>
      <c r="F5" s="26">
        <v>50</v>
      </c>
      <c r="G5" s="26">
        <v>50</v>
      </c>
      <c r="H5" s="27">
        <v>0</v>
      </c>
      <c r="I5" s="28" t="s">
        <v>25</v>
      </c>
      <c r="J5" s="29">
        <v>45340</v>
      </c>
      <c r="K5" s="28" t="s">
        <v>26</v>
      </c>
      <c r="L5" s="30" t="s">
        <v>27</v>
      </c>
      <c r="M5" s="28" t="s">
        <v>28</v>
      </c>
      <c r="N5" s="28" t="s">
        <v>29</v>
      </c>
      <c r="O5" s="28" t="s">
        <v>30</v>
      </c>
      <c r="P5" s="28" t="s">
        <v>31</v>
      </c>
      <c r="Q5" s="31">
        <v>46043</v>
      </c>
      <c r="R5" s="32">
        <v>46053</v>
      </c>
      <c r="S5" s="33" t="s">
        <v>32</v>
      </c>
      <c r="T5" s="3"/>
      <c r="U5" s="34" t="str">
        <f t="shared" ref="U5" si="0">IF(ROUNDUP(MONTH(R5)/3,0)-1=0,_xlfn.CONCAT("Q",4," ",YEAR(R5)),_xlfn.CONCAT("Q",ROUNDUP(MONTH(R5)/3,0)-1," ",YEAR(R5)+1))</f>
        <v>Q4 2026</v>
      </c>
    </row>
    <row r="6" spans="1:21">
      <c r="A6" s="35"/>
      <c r="B6" s="22" t="s">
        <v>22</v>
      </c>
      <c r="C6" s="23" t="s">
        <v>23</v>
      </c>
      <c r="D6" s="24"/>
      <c r="E6" s="25"/>
      <c r="F6" s="36">
        <v>200</v>
      </c>
      <c r="G6" s="37">
        <v>50</v>
      </c>
      <c r="H6" s="38">
        <v>0</v>
      </c>
      <c r="I6" s="39" t="s">
        <v>25</v>
      </c>
      <c r="J6" s="40">
        <v>45340</v>
      </c>
      <c r="K6" s="39" t="s">
        <v>33</v>
      </c>
      <c r="L6" s="41" t="s">
        <v>27</v>
      </c>
      <c r="M6" s="39" t="s">
        <v>28</v>
      </c>
      <c r="N6" s="39" t="s">
        <v>29</v>
      </c>
      <c r="O6" s="39" t="s">
        <v>30</v>
      </c>
      <c r="P6" s="39" t="s">
        <v>31</v>
      </c>
      <c r="Q6" s="42">
        <v>46132</v>
      </c>
      <c r="R6" s="43">
        <v>46112</v>
      </c>
      <c r="S6" s="44" t="s">
        <v>32</v>
      </c>
      <c r="T6" s="3"/>
      <c r="U6" s="34" t="str">
        <f>IF(ROUNDUP(MONTH(R6)/3,0)-1=0,_xlfn.CONCAT("Q",4," ",YEAR(R6)),_xlfn.CONCAT("Q",ROUNDUP(MONTH(R6)/3,0)-1," ",YEAR(R6)+1))</f>
        <v>Q4 2026</v>
      </c>
    </row>
    <row r="7" spans="1:21">
      <c r="A7" s="35"/>
      <c r="B7" s="22" t="s">
        <v>22</v>
      </c>
      <c r="C7" s="23" t="s">
        <v>23</v>
      </c>
      <c r="D7" s="45"/>
      <c r="E7" s="25"/>
      <c r="F7" s="36"/>
      <c r="G7" s="37">
        <v>100</v>
      </c>
      <c r="H7" s="38">
        <v>0</v>
      </c>
      <c r="I7" s="39" t="s">
        <v>25</v>
      </c>
      <c r="J7" s="40">
        <v>45340</v>
      </c>
      <c r="K7" s="39" t="s">
        <v>33</v>
      </c>
      <c r="L7" s="41" t="s">
        <v>27</v>
      </c>
      <c r="M7" s="39" t="s">
        <v>28</v>
      </c>
      <c r="N7" s="39" t="s">
        <v>29</v>
      </c>
      <c r="O7" s="39" t="s">
        <v>30</v>
      </c>
      <c r="P7" s="39" t="s">
        <v>31</v>
      </c>
      <c r="Q7" s="42">
        <v>46132</v>
      </c>
      <c r="R7" s="32">
        <v>46112</v>
      </c>
      <c r="S7" s="44" t="s">
        <v>32</v>
      </c>
      <c r="T7" s="3"/>
      <c r="U7" s="34" t="str">
        <f t="shared" ref="U7:U14" si="1">IF(ROUNDUP(MONTH(R7)/3,0)-1=0,_xlfn.CONCAT("Q",4," ",YEAR(R7)),_xlfn.CONCAT("Q",ROUNDUP(MONTH(R7)/3,0)-1," ",YEAR(R7)+1))</f>
        <v>Q4 2026</v>
      </c>
    </row>
    <row r="8" spans="1:21">
      <c r="A8" s="35"/>
      <c r="B8" s="22" t="s">
        <v>22</v>
      </c>
      <c r="C8" s="23" t="s">
        <v>23</v>
      </c>
      <c r="D8" s="45"/>
      <c r="E8" s="25"/>
      <c r="F8" s="36"/>
      <c r="G8" s="37">
        <v>50</v>
      </c>
      <c r="H8" s="38">
        <v>0</v>
      </c>
      <c r="I8" s="39" t="s">
        <v>25</v>
      </c>
      <c r="J8" s="40">
        <v>45340</v>
      </c>
      <c r="K8" s="39" t="s">
        <v>33</v>
      </c>
      <c r="L8" s="41" t="s">
        <v>27</v>
      </c>
      <c r="M8" s="39" t="s">
        <v>28</v>
      </c>
      <c r="N8" s="39" t="s">
        <v>29</v>
      </c>
      <c r="O8" s="39" t="s">
        <v>30</v>
      </c>
      <c r="P8" s="39" t="s">
        <v>31</v>
      </c>
      <c r="Q8" s="42">
        <v>46132</v>
      </c>
      <c r="R8" s="43">
        <v>46142</v>
      </c>
      <c r="S8" s="33" t="s">
        <v>32</v>
      </c>
      <c r="T8" s="3"/>
      <c r="U8" s="34" t="str">
        <f t="shared" si="1"/>
        <v>Q1 2027</v>
      </c>
    </row>
    <row r="9" spans="1:21">
      <c r="A9" s="35"/>
      <c r="B9" s="22" t="s">
        <v>22</v>
      </c>
      <c r="C9" s="23" t="s">
        <v>23</v>
      </c>
      <c r="D9" s="24" t="s">
        <v>24</v>
      </c>
      <c r="E9" s="25"/>
      <c r="F9" s="46">
        <v>167</v>
      </c>
      <c r="G9" s="47">
        <v>100</v>
      </c>
      <c r="H9" s="48">
        <v>0</v>
      </c>
      <c r="I9" s="49" t="s">
        <v>25</v>
      </c>
      <c r="J9" s="50">
        <v>45340</v>
      </c>
      <c r="K9" s="49" t="s">
        <v>34</v>
      </c>
      <c r="L9" s="51" t="s">
        <v>27</v>
      </c>
      <c r="M9" s="49" t="s">
        <v>28</v>
      </c>
      <c r="N9" s="49" t="s">
        <v>29</v>
      </c>
      <c r="O9" s="49" t="s">
        <v>30</v>
      </c>
      <c r="P9" s="49" t="s">
        <v>31</v>
      </c>
      <c r="Q9" s="52">
        <v>46132</v>
      </c>
      <c r="R9" s="53">
        <v>46112</v>
      </c>
      <c r="S9" s="33" t="s">
        <v>32</v>
      </c>
      <c r="T9" s="3"/>
      <c r="U9" s="34" t="str">
        <f t="shared" si="1"/>
        <v>Q4 2026</v>
      </c>
    </row>
    <row r="10" spans="1:21">
      <c r="A10" s="35"/>
      <c r="B10" s="22" t="s">
        <v>22</v>
      </c>
      <c r="C10" s="23" t="s">
        <v>23</v>
      </c>
      <c r="D10" s="24"/>
      <c r="E10" s="25"/>
      <c r="F10" s="46"/>
      <c r="G10" s="47">
        <v>67</v>
      </c>
      <c r="H10" s="48">
        <v>0</v>
      </c>
      <c r="I10" s="49" t="s">
        <v>25</v>
      </c>
      <c r="J10" s="50">
        <v>45340</v>
      </c>
      <c r="K10" s="49" t="s">
        <v>34</v>
      </c>
      <c r="L10" s="49" t="s">
        <v>27</v>
      </c>
      <c r="M10" s="49" t="s">
        <v>28</v>
      </c>
      <c r="N10" s="49" t="s">
        <v>29</v>
      </c>
      <c r="O10" s="49" t="s">
        <v>30</v>
      </c>
      <c r="P10" s="49" t="s">
        <v>31</v>
      </c>
      <c r="Q10" s="52">
        <v>46132</v>
      </c>
      <c r="R10" s="53">
        <v>46142</v>
      </c>
      <c r="S10" s="33" t="s">
        <v>32</v>
      </c>
      <c r="T10" s="3"/>
      <c r="U10" s="34" t="str">
        <f t="shared" si="1"/>
        <v>Q1 2027</v>
      </c>
    </row>
    <row r="11" spans="1:21">
      <c r="A11" s="35"/>
      <c r="B11" s="22" t="s">
        <v>22</v>
      </c>
      <c r="C11" s="23" t="s">
        <v>23</v>
      </c>
      <c r="D11" s="24"/>
      <c r="E11" s="25"/>
      <c r="F11" s="46">
        <v>333</v>
      </c>
      <c r="G11" s="37">
        <v>158</v>
      </c>
      <c r="H11" s="38">
        <v>0</v>
      </c>
      <c r="I11" s="39" t="s">
        <v>25</v>
      </c>
      <c r="J11" s="40">
        <v>45340</v>
      </c>
      <c r="K11" s="39" t="s">
        <v>35</v>
      </c>
      <c r="L11" s="41" t="s">
        <v>27</v>
      </c>
      <c r="M11" s="39" t="s">
        <v>28</v>
      </c>
      <c r="N11" s="39" t="s">
        <v>29</v>
      </c>
      <c r="O11" s="39" t="s">
        <v>30</v>
      </c>
      <c r="P11" s="39" t="s">
        <v>31</v>
      </c>
      <c r="Q11" s="42">
        <v>46132</v>
      </c>
      <c r="R11" s="32">
        <v>46112</v>
      </c>
      <c r="S11" s="33" t="s">
        <v>32</v>
      </c>
      <c r="T11" s="3"/>
      <c r="U11" s="34" t="str">
        <f t="shared" si="1"/>
        <v>Q4 2026</v>
      </c>
    </row>
    <row r="12" spans="1:21">
      <c r="A12" s="35"/>
      <c r="B12" s="22" t="s">
        <v>22</v>
      </c>
      <c r="C12" s="23" t="s">
        <v>23</v>
      </c>
      <c r="D12" s="24"/>
      <c r="E12" s="25"/>
      <c r="F12" s="46"/>
      <c r="G12" s="54">
        <v>175</v>
      </c>
      <c r="H12" s="55">
        <v>0</v>
      </c>
      <c r="I12" s="56" t="s">
        <v>25</v>
      </c>
      <c r="J12" s="57">
        <v>45340</v>
      </c>
      <c r="K12" s="56" t="s">
        <v>35</v>
      </c>
      <c r="L12" s="56" t="s">
        <v>27</v>
      </c>
      <c r="M12" s="56" t="s">
        <v>28</v>
      </c>
      <c r="N12" s="56" t="s">
        <v>29</v>
      </c>
      <c r="O12" s="56" t="s">
        <v>30</v>
      </c>
      <c r="P12" s="56" t="s">
        <v>31</v>
      </c>
      <c r="Q12" s="58">
        <v>46132</v>
      </c>
      <c r="R12" s="43">
        <v>46142</v>
      </c>
      <c r="S12" s="33" t="s">
        <v>32</v>
      </c>
      <c r="T12" s="3"/>
      <c r="U12" s="34" t="str">
        <f t="shared" si="1"/>
        <v>Q1 2027</v>
      </c>
    </row>
    <row r="13" spans="1:21">
      <c r="A13" s="35"/>
      <c r="B13" s="22" t="s">
        <v>22</v>
      </c>
      <c r="C13" s="22" t="s">
        <v>23</v>
      </c>
      <c r="D13" s="24"/>
      <c r="E13" s="25"/>
      <c r="F13" s="60">
        <v>250</v>
      </c>
      <c r="G13" s="61">
        <v>125</v>
      </c>
      <c r="H13" s="62">
        <v>0</v>
      </c>
      <c r="I13" s="63" t="s">
        <v>25</v>
      </c>
      <c r="J13" s="64">
        <v>45340</v>
      </c>
      <c r="K13" s="63" t="s">
        <v>41</v>
      </c>
      <c r="L13" s="63" t="s">
        <v>42</v>
      </c>
      <c r="M13" s="63" t="s">
        <v>43</v>
      </c>
      <c r="N13" s="63" t="s">
        <v>29</v>
      </c>
      <c r="O13" s="63" t="s">
        <v>44</v>
      </c>
      <c r="P13" s="63" t="s">
        <v>38</v>
      </c>
      <c r="Q13" s="65">
        <v>46453</v>
      </c>
      <c r="R13" s="66">
        <v>46418</v>
      </c>
      <c r="S13" s="33" t="s">
        <v>45</v>
      </c>
      <c r="T13" s="3" t="s">
        <v>46</v>
      </c>
      <c r="U13" s="34" t="str">
        <f t="shared" si="1"/>
        <v>Q4 2027</v>
      </c>
    </row>
    <row r="14" spans="1:21" ht="14.4" thickBot="1">
      <c r="A14" s="35"/>
      <c r="B14" s="67" t="s">
        <v>22</v>
      </c>
      <c r="C14" s="68" t="s">
        <v>23</v>
      </c>
      <c r="D14" s="24"/>
      <c r="E14" s="25"/>
      <c r="F14" s="69"/>
      <c r="G14" s="70">
        <v>125</v>
      </c>
      <c r="H14" s="71">
        <v>0</v>
      </c>
      <c r="I14" s="72" t="s">
        <v>25</v>
      </c>
      <c r="J14" s="73">
        <v>45340</v>
      </c>
      <c r="K14" s="72" t="s">
        <v>41</v>
      </c>
      <c r="L14" s="72" t="s">
        <v>42</v>
      </c>
      <c r="M14" s="72" t="s">
        <v>43</v>
      </c>
      <c r="N14" s="72" t="s">
        <v>29</v>
      </c>
      <c r="O14" s="72" t="s">
        <v>44</v>
      </c>
      <c r="P14" s="72" t="s">
        <v>38</v>
      </c>
      <c r="Q14" s="74">
        <v>46453</v>
      </c>
      <c r="R14" s="75">
        <v>46446</v>
      </c>
      <c r="S14" s="33" t="s">
        <v>45</v>
      </c>
      <c r="T14" s="3" t="s">
        <v>46</v>
      </c>
      <c r="U14" s="34" t="str">
        <f t="shared" si="1"/>
        <v>Q4 2027</v>
      </c>
    </row>
    <row r="15" spans="1:21" ht="14.4" thickTop="1">
      <c r="A15" s="76"/>
      <c r="B15" s="22"/>
      <c r="C15" s="23"/>
      <c r="D15" s="24"/>
      <c r="E15" s="25"/>
      <c r="F15" s="77"/>
      <c r="G15" s="77"/>
      <c r="H15" s="77"/>
      <c r="I15" s="78"/>
      <c r="J15" s="78"/>
      <c r="K15" s="78"/>
      <c r="L15" s="78"/>
      <c r="M15" s="78"/>
      <c r="N15" s="78"/>
      <c r="O15" s="78"/>
      <c r="P15" s="78"/>
      <c r="Q15" s="78"/>
      <c r="R15" s="79"/>
      <c r="S15" s="80"/>
      <c r="T15" s="3"/>
      <c r="U15" s="3"/>
    </row>
    <row r="16" spans="1:21">
      <c r="A16" s="81">
        <v>2</v>
      </c>
      <c r="B16" s="82" t="s">
        <v>22</v>
      </c>
      <c r="C16" s="83" t="s">
        <v>23</v>
      </c>
      <c r="D16" s="24"/>
      <c r="E16" s="84">
        <v>417</v>
      </c>
      <c r="F16" s="60">
        <v>250</v>
      </c>
      <c r="G16" s="61">
        <v>125</v>
      </c>
      <c r="H16" s="62">
        <v>0</v>
      </c>
      <c r="I16" s="63" t="s">
        <v>47</v>
      </c>
      <c r="J16" s="64">
        <v>46326</v>
      </c>
      <c r="K16" s="63" t="s">
        <v>41</v>
      </c>
      <c r="L16" s="63" t="s">
        <v>48</v>
      </c>
      <c r="M16" s="63" t="s">
        <v>43</v>
      </c>
      <c r="N16" s="63" t="s">
        <v>29</v>
      </c>
      <c r="O16" s="63" t="s">
        <v>44</v>
      </c>
      <c r="P16" s="63" t="s">
        <v>38</v>
      </c>
      <c r="Q16" s="65">
        <v>46453</v>
      </c>
      <c r="R16" s="66">
        <v>46387</v>
      </c>
      <c r="S16" s="33" t="s">
        <v>49</v>
      </c>
      <c r="T16" s="3" t="s">
        <v>50</v>
      </c>
      <c r="U16" s="34" t="str">
        <f t="shared" ref="U16:U19" si="2">IF(ROUNDUP(MONTH(R16)/3,0)-1=0,_xlfn.CONCAT("Q",4," ",YEAR(R16)),_xlfn.CONCAT("Q",ROUNDUP(MONTH(R16)/3,0)-1," ",YEAR(R16)+1))</f>
        <v>Q3 2027</v>
      </c>
    </row>
    <row r="17" spans="1:21">
      <c r="A17" s="35"/>
      <c r="B17" s="22" t="s">
        <v>22</v>
      </c>
      <c r="C17" s="23" t="s">
        <v>23</v>
      </c>
      <c r="D17" s="24"/>
      <c r="E17" s="84"/>
      <c r="F17" s="85"/>
      <c r="G17" s="61">
        <v>125</v>
      </c>
      <c r="H17" s="62">
        <v>0</v>
      </c>
      <c r="I17" s="63" t="s">
        <v>47</v>
      </c>
      <c r="J17" s="64">
        <v>46326</v>
      </c>
      <c r="K17" s="63" t="s">
        <v>41</v>
      </c>
      <c r="L17" s="63" t="s">
        <v>48</v>
      </c>
      <c r="M17" s="63" t="s">
        <v>43</v>
      </c>
      <c r="N17" s="63" t="s">
        <v>29</v>
      </c>
      <c r="O17" s="63" t="s">
        <v>44</v>
      </c>
      <c r="P17" s="63" t="s">
        <v>38</v>
      </c>
      <c r="Q17" s="65">
        <v>46453</v>
      </c>
      <c r="R17" s="66">
        <v>46418</v>
      </c>
      <c r="S17" s="33" t="s">
        <v>49</v>
      </c>
      <c r="T17" s="3" t="s">
        <v>50</v>
      </c>
      <c r="U17" s="34" t="str">
        <f t="shared" si="2"/>
        <v>Q4 2027</v>
      </c>
    </row>
    <row r="18" spans="1:21">
      <c r="A18" s="35"/>
      <c r="B18" s="22" t="s">
        <v>22</v>
      </c>
      <c r="C18" s="23" t="s">
        <v>23</v>
      </c>
      <c r="D18" s="24"/>
      <c r="E18" s="84"/>
      <c r="F18" s="26">
        <v>100</v>
      </c>
      <c r="G18" s="26">
        <v>100</v>
      </c>
      <c r="H18" s="27">
        <v>0</v>
      </c>
      <c r="I18" s="28" t="s">
        <v>47</v>
      </c>
      <c r="J18" s="29">
        <v>46326</v>
      </c>
      <c r="K18" s="28" t="s">
        <v>41</v>
      </c>
      <c r="L18" s="30" t="s">
        <v>42</v>
      </c>
      <c r="M18" s="28" t="s">
        <v>51</v>
      </c>
      <c r="N18" s="28" t="s">
        <v>52</v>
      </c>
      <c r="O18" s="28" t="s">
        <v>44</v>
      </c>
      <c r="P18" s="28" t="s">
        <v>38</v>
      </c>
      <c r="Q18" s="31">
        <v>46331</v>
      </c>
      <c r="R18" s="86">
        <v>45382</v>
      </c>
      <c r="S18" s="33" t="s">
        <v>53</v>
      </c>
      <c r="T18" s="3"/>
      <c r="U18" s="34" t="str">
        <f t="shared" si="2"/>
        <v>Q4 2024</v>
      </c>
    </row>
    <row r="19" spans="1:21" ht="14.4" thickBot="1">
      <c r="A19" s="35"/>
      <c r="B19" s="67" t="s">
        <v>22</v>
      </c>
      <c r="C19" s="68" t="s">
        <v>23</v>
      </c>
      <c r="D19" s="24"/>
      <c r="E19" s="84"/>
      <c r="F19" s="87">
        <v>67</v>
      </c>
      <c r="G19" s="87">
        <v>67</v>
      </c>
      <c r="H19" s="88">
        <v>0</v>
      </c>
      <c r="I19" s="89" t="s">
        <v>47</v>
      </c>
      <c r="J19" s="90">
        <v>46326</v>
      </c>
      <c r="K19" s="89" t="s">
        <v>41</v>
      </c>
      <c r="L19" s="89" t="s">
        <v>42</v>
      </c>
      <c r="M19" s="89" t="s">
        <v>54</v>
      </c>
      <c r="N19" s="89" t="s">
        <v>52</v>
      </c>
      <c r="O19" s="89" t="s">
        <v>44</v>
      </c>
      <c r="P19" s="89" t="s">
        <v>38</v>
      </c>
      <c r="Q19" s="91">
        <v>46331</v>
      </c>
      <c r="R19" s="92">
        <v>45712</v>
      </c>
      <c r="S19" s="33" t="s">
        <v>53</v>
      </c>
      <c r="T19" s="3"/>
      <c r="U19" s="34" t="str">
        <f t="shared" si="2"/>
        <v>Q4 2025</v>
      </c>
    </row>
    <row r="20" spans="1:21" ht="15" thickTop="1" thickBot="1">
      <c r="A20" s="76"/>
      <c r="B20" s="22"/>
      <c r="C20" s="23"/>
      <c r="D20" s="24"/>
      <c r="E20" s="84"/>
      <c r="F20" s="93"/>
      <c r="G20" s="93"/>
      <c r="H20" s="93"/>
      <c r="I20" s="94"/>
      <c r="J20" s="94"/>
      <c r="K20" s="94"/>
      <c r="L20" s="94"/>
      <c r="M20" s="94"/>
      <c r="N20" s="94"/>
      <c r="O20" s="94"/>
      <c r="P20" s="94"/>
      <c r="Q20" s="94"/>
      <c r="R20" s="95"/>
      <c r="S20" s="80"/>
      <c r="T20" s="3"/>
      <c r="U20" s="3"/>
    </row>
    <row r="21" spans="1:21" ht="14.4" thickBot="1">
      <c r="A21" s="81">
        <v>3</v>
      </c>
      <c r="B21" s="82" t="s">
        <v>22</v>
      </c>
      <c r="C21" s="83" t="s">
        <v>23</v>
      </c>
      <c r="D21" s="24"/>
      <c r="E21" s="25">
        <v>1083</v>
      </c>
      <c r="F21" s="96">
        <v>250</v>
      </c>
      <c r="G21" s="26">
        <v>225</v>
      </c>
      <c r="H21" s="27">
        <v>0</v>
      </c>
      <c r="I21" s="28" t="s">
        <v>55</v>
      </c>
      <c r="J21" s="29">
        <v>46418</v>
      </c>
      <c r="K21" s="28" t="s">
        <v>56</v>
      </c>
      <c r="L21" s="28" t="s">
        <v>57</v>
      </c>
      <c r="M21" s="28" t="s">
        <v>58</v>
      </c>
      <c r="N21" s="28" t="s">
        <v>52</v>
      </c>
      <c r="O21" s="28" t="s">
        <v>44</v>
      </c>
      <c r="P21" s="28" t="s">
        <v>38</v>
      </c>
      <c r="Q21" s="31">
        <v>45966</v>
      </c>
      <c r="R21" s="97">
        <v>45382</v>
      </c>
      <c r="S21" s="33" t="s">
        <v>59</v>
      </c>
      <c r="T21" s="3"/>
      <c r="U21" s="34" t="str">
        <f t="shared" ref="U21:U26" si="3">IF(ROUNDUP(MONTH(R21)/3,0)-1=0,_xlfn.CONCAT("Q",4," ",YEAR(R21)),_xlfn.CONCAT("Q",ROUNDUP(MONTH(R21)/3,0)-1," ",YEAR(R21)+1))</f>
        <v>Q4 2024</v>
      </c>
    </row>
    <row r="22" spans="1:21">
      <c r="A22" s="35"/>
      <c r="B22" s="22" t="s">
        <v>22</v>
      </c>
      <c r="C22" s="23" t="s">
        <v>23</v>
      </c>
      <c r="D22" s="24"/>
      <c r="E22" s="25"/>
      <c r="F22" s="96"/>
      <c r="G22" s="26">
        <v>25</v>
      </c>
      <c r="H22" s="27">
        <v>0</v>
      </c>
      <c r="I22" s="28" t="s">
        <v>55</v>
      </c>
      <c r="J22" s="29">
        <v>46418</v>
      </c>
      <c r="K22" s="28" t="s">
        <v>56</v>
      </c>
      <c r="L22" s="28" t="s">
        <v>57</v>
      </c>
      <c r="M22" s="28" t="s">
        <v>58</v>
      </c>
      <c r="N22" s="28" t="s">
        <v>52</v>
      </c>
      <c r="O22" s="28" t="s">
        <v>44</v>
      </c>
      <c r="P22" s="28" t="s">
        <v>38</v>
      </c>
      <c r="Q22" s="31">
        <v>45966</v>
      </c>
      <c r="R22" s="32">
        <v>45716</v>
      </c>
      <c r="S22" s="33" t="s">
        <v>59</v>
      </c>
      <c r="T22" s="3"/>
      <c r="U22" s="34" t="str">
        <f t="shared" si="3"/>
        <v>Q4 2025</v>
      </c>
    </row>
    <row r="23" spans="1:21">
      <c r="A23" s="35"/>
      <c r="B23" s="22" t="s">
        <v>22</v>
      </c>
      <c r="C23" s="23" t="s">
        <v>23</v>
      </c>
      <c r="D23" s="24"/>
      <c r="E23" s="25"/>
      <c r="F23" s="26">
        <v>250</v>
      </c>
      <c r="G23" s="26">
        <v>250</v>
      </c>
      <c r="H23" s="27">
        <v>0</v>
      </c>
      <c r="I23" s="28" t="s">
        <v>55</v>
      </c>
      <c r="J23" s="98">
        <v>46418</v>
      </c>
      <c r="K23" s="28" t="s">
        <v>56</v>
      </c>
      <c r="L23" s="28" t="s">
        <v>57</v>
      </c>
      <c r="M23" s="28" t="s">
        <v>58</v>
      </c>
      <c r="N23" s="28" t="s">
        <v>52</v>
      </c>
      <c r="O23" s="28" t="s">
        <v>44</v>
      </c>
      <c r="P23" s="28" t="s">
        <v>38</v>
      </c>
      <c r="Q23" s="31">
        <v>45966</v>
      </c>
      <c r="R23" s="32">
        <v>45716</v>
      </c>
      <c r="S23" s="33" t="s">
        <v>59</v>
      </c>
      <c r="T23" s="3"/>
      <c r="U23" s="34" t="str">
        <f t="shared" si="3"/>
        <v>Q4 2025</v>
      </c>
    </row>
    <row r="24" spans="1:21">
      <c r="A24" s="35"/>
      <c r="B24" s="22" t="s">
        <v>22</v>
      </c>
      <c r="C24" s="23" t="s">
        <v>23</v>
      </c>
      <c r="D24" s="24"/>
      <c r="E24" s="25"/>
      <c r="F24" s="26">
        <v>250</v>
      </c>
      <c r="G24" s="26">
        <v>250</v>
      </c>
      <c r="H24" s="27">
        <v>0</v>
      </c>
      <c r="I24" s="28" t="s">
        <v>55</v>
      </c>
      <c r="J24" s="29">
        <v>46418</v>
      </c>
      <c r="K24" s="28" t="s">
        <v>56</v>
      </c>
      <c r="L24" s="28" t="s">
        <v>60</v>
      </c>
      <c r="M24" s="28" t="s">
        <v>51</v>
      </c>
      <c r="N24" s="28" t="s">
        <v>52</v>
      </c>
      <c r="O24" s="28" t="s">
        <v>44</v>
      </c>
      <c r="P24" s="28" t="s">
        <v>38</v>
      </c>
      <c r="Q24" s="31">
        <v>45966</v>
      </c>
      <c r="R24" s="32">
        <v>45291</v>
      </c>
      <c r="S24" s="33" t="s">
        <v>61</v>
      </c>
      <c r="T24" s="3"/>
      <c r="U24" s="34" t="str">
        <f t="shared" si="3"/>
        <v>Q3 2024</v>
      </c>
    </row>
    <row r="25" spans="1:21">
      <c r="A25" s="35"/>
      <c r="B25" s="22" t="s">
        <v>22</v>
      </c>
      <c r="C25" s="23" t="s">
        <v>23</v>
      </c>
      <c r="D25" s="24"/>
      <c r="E25" s="25"/>
      <c r="F25" s="26">
        <v>250</v>
      </c>
      <c r="G25" s="26">
        <v>250</v>
      </c>
      <c r="H25" s="27">
        <v>0</v>
      </c>
      <c r="I25" s="28" t="s">
        <v>55</v>
      </c>
      <c r="J25" s="29">
        <v>46418</v>
      </c>
      <c r="K25" s="28" t="s">
        <v>56</v>
      </c>
      <c r="L25" s="28" t="s">
        <v>60</v>
      </c>
      <c r="M25" s="28" t="s">
        <v>51</v>
      </c>
      <c r="N25" s="28" t="s">
        <v>52</v>
      </c>
      <c r="O25" s="28" t="s">
        <v>44</v>
      </c>
      <c r="P25" s="28" t="s">
        <v>38</v>
      </c>
      <c r="Q25" s="31">
        <v>45966</v>
      </c>
      <c r="R25" s="32">
        <v>45291</v>
      </c>
      <c r="S25" s="33" t="s">
        <v>61</v>
      </c>
      <c r="T25" s="3"/>
      <c r="U25" s="34" t="str">
        <f t="shared" si="3"/>
        <v>Q3 2024</v>
      </c>
    </row>
    <row r="26" spans="1:21" ht="14.4" thickBot="1">
      <c r="A26" s="35"/>
      <c r="B26" s="67" t="s">
        <v>22</v>
      </c>
      <c r="C26" s="68" t="s">
        <v>23</v>
      </c>
      <c r="D26" s="24"/>
      <c r="E26" s="25"/>
      <c r="F26" s="99">
        <v>83</v>
      </c>
      <c r="G26" s="99">
        <v>83</v>
      </c>
      <c r="H26" s="100">
        <v>0</v>
      </c>
      <c r="I26" s="101" t="s">
        <v>55</v>
      </c>
      <c r="J26" s="102">
        <v>46418</v>
      </c>
      <c r="K26" s="101" t="s">
        <v>62</v>
      </c>
      <c r="L26" s="101" t="s">
        <v>60</v>
      </c>
      <c r="M26" s="101" t="s">
        <v>58</v>
      </c>
      <c r="N26" s="101" t="s">
        <v>52</v>
      </c>
      <c r="O26" s="101" t="s">
        <v>44</v>
      </c>
      <c r="P26" s="101" t="s">
        <v>38</v>
      </c>
      <c r="Q26" s="103">
        <v>46296</v>
      </c>
      <c r="R26" s="104">
        <v>45717</v>
      </c>
      <c r="S26" s="33" t="s">
        <v>61</v>
      </c>
      <c r="T26" s="3"/>
      <c r="U26" s="34" t="str">
        <f t="shared" si="3"/>
        <v>Q4 2025</v>
      </c>
    </row>
    <row r="27" spans="1:21" ht="15" thickTop="1" thickBot="1">
      <c r="A27" s="105"/>
      <c r="B27" s="22"/>
      <c r="C27" s="23"/>
      <c r="D27" s="24"/>
      <c r="E27" s="25"/>
      <c r="F27" s="106"/>
      <c r="G27" s="106"/>
      <c r="H27" s="107"/>
      <c r="I27" s="108"/>
      <c r="J27" s="109"/>
      <c r="K27" s="108"/>
      <c r="L27" s="108"/>
      <c r="M27" s="108"/>
      <c r="N27" s="108"/>
      <c r="O27" s="108"/>
      <c r="P27" s="108"/>
      <c r="Q27" s="110"/>
      <c r="R27" s="111"/>
      <c r="S27" s="80"/>
      <c r="T27" s="3"/>
      <c r="U27" s="3"/>
    </row>
    <row r="28" spans="1:21" ht="14.4" thickBot="1">
      <c r="A28" s="112">
        <v>4</v>
      </c>
      <c r="B28" s="113" t="s">
        <v>22</v>
      </c>
      <c r="C28" s="114" t="s">
        <v>23</v>
      </c>
      <c r="D28" s="115" t="s">
        <v>24</v>
      </c>
      <c r="E28" s="116">
        <v>1000</v>
      </c>
      <c r="F28" s="117">
        <v>250</v>
      </c>
      <c r="G28" s="117">
        <v>250</v>
      </c>
      <c r="H28" s="118">
        <v>0</v>
      </c>
      <c r="I28" s="119" t="s">
        <v>55</v>
      </c>
      <c r="J28" s="120">
        <v>46418</v>
      </c>
      <c r="K28" s="119" t="s">
        <v>63</v>
      </c>
      <c r="L28" s="119" t="s">
        <v>64</v>
      </c>
      <c r="M28" s="119" t="s">
        <v>65</v>
      </c>
      <c r="N28" s="119" t="s">
        <v>66</v>
      </c>
      <c r="O28" s="119" t="s">
        <v>44</v>
      </c>
      <c r="P28" s="119" t="s">
        <v>38</v>
      </c>
      <c r="Q28" s="121">
        <v>45601</v>
      </c>
      <c r="R28" s="122">
        <v>45291</v>
      </c>
      <c r="S28" s="33" t="s">
        <v>67</v>
      </c>
      <c r="T28" s="3"/>
      <c r="U28" s="34" t="str">
        <f t="shared" ref="U28:U31" si="4">IF(ROUNDUP(MONTH(R28)/3,0)-1=0,_xlfn.CONCAT("Q",4," ",YEAR(R28)),_xlfn.CONCAT("Q",ROUNDUP(MONTH(R28)/3,0)-1," ",YEAR(R28)+1))</f>
        <v>Q3 2024</v>
      </c>
    </row>
    <row r="29" spans="1:21" ht="14.4" thickBot="1">
      <c r="A29" s="112"/>
      <c r="B29" s="22" t="s">
        <v>22</v>
      </c>
      <c r="C29" s="23" t="s">
        <v>23</v>
      </c>
      <c r="D29" s="115"/>
      <c r="E29" s="116"/>
      <c r="F29" s="26">
        <v>250</v>
      </c>
      <c r="G29" s="26">
        <v>250</v>
      </c>
      <c r="H29" s="27">
        <v>0</v>
      </c>
      <c r="I29" s="28" t="s">
        <v>55</v>
      </c>
      <c r="J29" s="29">
        <v>46418</v>
      </c>
      <c r="K29" s="28" t="s">
        <v>63</v>
      </c>
      <c r="L29" s="28" t="s">
        <v>64</v>
      </c>
      <c r="M29" s="28" t="s">
        <v>65</v>
      </c>
      <c r="N29" s="28" t="s">
        <v>66</v>
      </c>
      <c r="O29" s="28" t="s">
        <v>44</v>
      </c>
      <c r="P29" s="28" t="s">
        <v>38</v>
      </c>
      <c r="Q29" s="31">
        <v>45601</v>
      </c>
      <c r="R29" s="86">
        <v>45291</v>
      </c>
      <c r="S29" s="33" t="s">
        <v>67</v>
      </c>
      <c r="T29" s="3"/>
      <c r="U29" s="34" t="str">
        <f t="shared" si="4"/>
        <v>Q3 2024</v>
      </c>
    </row>
    <row r="30" spans="1:21" ht="14.4" thickBot="1">
      <c r="A30" s="112"/>
      <c r="B30" s="22" t="s">
        <v>22</v>
      </c>
      <c r="C30" s="23" t="s">
        <v>23</v>
      </c>
      <c r="D30" s="115"/>
      <c r="E30" s="116"/>
      <c r="F30" s="26">
        <v>250</v>
      </c>
      <c r="G30" s="26">
        <v>250</v>
      </c>
      <c r="H30" s="27">
        <v>0</v>
      </c>
      <c r="I30" s="28" t="s">
        <v>55</v>
      </c>
      <c r="J30" s="29">
        <v>46418</v>
      </c>
      <c r="K30" s="28" t="s">
        <v>63</v>
      </c>
      <c r="L30" s="28" t="s">
        <v>68</v>
      </c>
      <c r="M30" s="28" t="s">
        <v>69</v>
      </c>
      <c r="N30" s="28" t="s">
        <v>66</v>
      </c>
      <c r="O30" s="28" t="s">
        <v>44</v>
      </c>
      <c r="P30" s="28" t="s">
        <v>38</v>
      </c>
      <c r="Q30" s="31">
        <v>45601</v>
      </c>
      <c r="R30" s="86">
        <v>45291</v>
      </c>
      <c r="S30" s="33" t="s">
        <v>59</v>
      </c>
      <c r="T30" s="3"/>
      <c r="U30" s="34" t="str">
        <f t="shared" si="4"/>
        <v>Q3 2024</v>
      </c>
    </row>
    <row r="31" spans="1:21" ht="14.4" thickBot="1">
      <c r="A31" s="112"/>
      <c r="B31" s="67" t="s">
        <v>22</v>
      </c>
      <c r="C31" s="68" t="s">
        <v>23</v>
      </c>
      <c r="D31" s="115"/>
      <c r="E31" s="116"/>
      <c r="F31" s="99">
        <v>250</v>
      </c>
      <c r="G31" s="99">
        <v>250</v>
      </c>
      <c r="H31" s="100">
        <v>0</v>
      </c>
      <c r="I31" s="101" t="s">
        <v>55</v>
      </c>
      <c r="J31" s="102">
        <v>46418</v>
      </c>
      <c r="K31" s="101" t="s">
        <v>63</v>
      </c>
      <c r="L31" s="101" t="s">
        <v>68</v>
      </c>
      <c r="M31" s="101" t="s">
        <v>69</v>
      </c>
      <c r="N31" s="101" t="s">
        <v>66</v>
      </c>
      <c r="O31" s="101" t="s">
        <v>44</v>
      </c>
      <c r="P31" s="101" t="s">
        <v>38</v>
      </c>
      <c r="Q31" s="103">
        <v>45601</v>
      </c>
      <c r="R31" s="123">
        <v>45322</v>
      </c>
      <c r="S31" s="33" t="s">
        <v>59</v>
      </c>
      <c r="T31" s="3"/>
      <c r="U31" s="34" t="str">
        <f t="shared" si="4"/>
        <v>Q4 2024</v>
      </c>
    </row>
    <row r="32" spans="1:21" ht="15" thickTop="1" thickBot="1">
      <c r="A32" s="112"/>
      <c r="B32" s="22"/>
      <c r="C32" s="23"/>
      <c r="D32" s="124"/>
      <c r="E32" s="116"/>
      <c r="F32" s="125"/>
      <c r="G32" s="106"/>
      <c r="H32" s="107"/>
      <c r="I32" s="108"/>
      <c r="J32" s="109"/>
      <c r="K32" s="108"/>
      <c r="L32" s="108"/>
      <c r="M32" s="108"/>
      <c r="N32" s="108"/>
      <c r="O32" s="108"/>
      <c r="P32" s="108"/>
      <c r="Q32" s="110"/>
      <c r="R32" s="111"/>
      <c r="S32" s="80"/>
      <c r="U32" s="3"/>
    </row>
    <row r="33" spans="1:21" ht="14.85" customHeight="1" thickBot="1">
      <c r="A33" s="126">
        <f>A28+1</f>
        <v>5</v>
      </c>
      <c r="B33" s="127" t="s">
        <v>22</v>
      </c>
      <c r="C33" s="128" t="s">
        <v>23</v>
      </c>
      <c r="D33" s="124" t="s">
        <v>24</v>
      </c>
      <c r="E33" s="116">
        <v>1000</v>
      </c>
      <c r="F33" s="129">
        <v>600</v>
      </c>
      <c r="G33" s="130">
        <v>295</v>
      </c>
      <c r="H33" s="130">
        <v>0</v>
      </c>
      <c r="I33" s="131" t="s">
        <v>47</v>
      </c>
      <c r="J33" s="132">
        <v>46081</v>
      </c>
      <c r="K33" s="131" t="s">
        <v>70</v>
      </c>
      <c r="L33" s="131" t="s">
        <v>71</v>
      </c>
      <c r="M33" s="131" t="s">
        <v>72</v>
      </c>
      <c r="N33" s="131" t="s">
        <v>73</v>
      </c>
      <c r="O33" s="131" t="s">
        <v>44</v>
      </c>
      <c r="P33" s="131" t="s">
        <v>31</v>
      </c>
      <c r="Q33" s="133" t="s">
        <v>74</v>
      </c>
      <c r="R33" s="134">
        <v>45838</v>
      </c>
      <c r="S33" s="33" t="s">
        <v>75</v>
      </c>
      <c r="T33" s="3"/>
      <c r="U33" s="34" t="str">
        <f t="shared" ref="U33:U43" si="5">IF(ROUNDUP(MONTH(R33)/3,0)-1=0,_xlfn.CONCAT("Q",4," ",YEAR(R33)),_xlfn.CONCAT("Q",ROUNDUP(MONTH(R33)/3,0)-1," ",YEAR(R33)+1))</f>
        <v>Q1 2026</v>
      </c>
    </row>
    <row r="34" spans="1:21" ht="14.85" customHeight="1" thickBot="1">
      <c r="A34" s="126"/>
      <c r="B34" s="13" t="s">
        <v>22</v>
      </c>
      <c r="C34" s="135" t="s">
        <v>23</v>
      </c>
      <c r="D34" s="124"/>
      <c r="E34" s="116"/>
      <c r="F34" s="136"/>
      <c r="G34" s="26">
        <v>50</v>
      </c>
      <c r="H34" s="26" t="s">
        <v>39</v>
      </c>
      <c r="I34" s="28" t="s">
        <v>47</v>
      </c>
      <c r="J34" s="40">
        <v>46081</v>
      </c>
      <c r="K34" s="28" t="s">
        <v>70</v>
      </c>
      <c r="L34" s="28" t="s">
        <v>71</v>
      </c>
      <c r="M34" s="28" t="s">
        <v>72</v>
      </c>
      <c r="N34" s="28" t="s">
        <v>73</v>
      </c>
      <c r="O34" s="28" t="s">
        <v>44</v>
      </c>
      <c r="P34" s="28" t="s">
        <v>31</v>
      </c>
      <c r="Q34" s="31" t="s">
        <v>74</v>
      </c>
      <c r="R34" s="137">
        <v>45900</v>
      </c>
      <c r="S34" s="33" t="s">
        <v>75</v>
      </c>
      <c r="T34" s="3"/>
      <c r="U34" s="34" t="str">
        <f t="shared" si="5"/>
        <v>Q2 2026</v>
      </c>
    </row>
    <row r="35" spans="1:21" ht="14.85" customHeight="1" thickBot="1">
      <c r="A35" s="126"/>
      <c r="B35" s="13" t="s">
        <v>22</v>
      </c>
      <c r="C35" s="135" t="s">
        <v>23</v>
      </c>
      <c r="D35" s="124"/>
      <c r="E35" s="116"/>
      <c r="F35" s="136"/>
      <c r="G35" s="26">
        <v>75</v>
      </c>
      <c r="H35" s="26">
        <v>0</v>
      </c>
      <c r="I35" s="28" t="s">
        <v>47</v>
      </c>
      <c r="J35" s="40">
        <v>46081</v>
      </c>
      <c r="K35" s="28" t="s">
        <v>70</v>
      </c>
      <c r="L35" s="28" t="s">
        <v>71</v>
      </c>
      <c r="M35" s="28" t="s">
        <v>72</v>
      </c>
      <c r="N35" s="28" t="s">
        <v>73</v>
      </c>
      <c r="O35" s="28" t="s">
        <v>44</v>
      </c>
      <c r="P35" s="28" t="s">
        <v>31</v>
      </c>
      <c r="Q35" s="31" t="s">
        <v>74</v>
      </c>
      <c r="R35" s="138">
        <v>45901</v>
      </c>
      <c r="S35" s="33" t="s">
        <v>75</v>
      </c>
      <c r="T35" s="3"/>
      <c r="U35" s="34" t="str">
        <f t="shared" si="5"/>
        <v>Q2 2026</v>
      </c>
    </row>
    <row r="36" spans="1:21" ht="14.85" customHeight="1" thickBot="1">
      <c r="A36" s="126"/>
      <c r="B36" s="13" t="s">
        <v>22</v>
      </c>
      <c r="C36" s="135" t="s">
        <v>23</v>
      </c>
      <c r="D36" s="124"/>
      <c r="E36" s="116"/>
      <c r="F36" s="136"/>
      <c r="G36" s="26">
        <v>75</v>
      </c>
      <c r="H36" s="26">
        <v>0</v>
      </c>
      <c r="I36" s="28" t="s">
        <v>47</v>
      </c>
      <c r="J36" s="40">
        <v>46081</v>
      </c>
      <c r="K36" s="28" t="s">
        <v>70</v>
      </c>
      <c r="L36" s="28" t="s">
        <v>71</v>
      </c>
      <c r="M36" s="28" t="s">
        <v>72</v>
      </c>
      <c r="N36" s="28" t="s">
        <v>73</v>
      </c>
      <c r="O36" s="28" t="s">
        <v>44</v>
      </c>
      <c r="P36" s="28" t="s">
        <v>31</v>
      </c>
      <c r="Q36" s="31" t="s">
        <v>74</v>
      </c>
      <c r="R36" s="139">
        <v>45946</v>
      </c>
      <c r="S36" s="33" t="s">
        <v>75</v>
      </c>
      <c r="T36" s="3"/>
      <c r="U36" s="34" t="str">
        <f t="shared" si="5"/>
        <v>Q3 2026</v>
      </c>
    </row>
    <row r="37" spans="1:21" ht="14.85" customHeight="1" thickBot="1">
      <c r="A37" s="126"/>
      <c r="B37" s="13" t="s">
        <v>22</v>
      </c>
      <c r="C37" s="135" t="s">
        <v>23</v>
      </c>
      <c r="D37" s="124"/>
      <c r="E37" s="116"/>
      <c r="F37" s="136"/>
      <c r="G37" s="26">
        <v>75</v>
      </c>
      <c r="H37" s="26">
        <v>0</v>
      </c>
      <c r="I37" s="28" t="s">
        <v>47</v>
      </c>
      <c r="J37" s="40">
        <v>46081</v>
      </c>
      <c r="K37" s="28" t="s">
        <v>70</v>
      </c>
      <c r="L37" s="28" t="s">
        <v>71</v>
      </c>
      <c r="M37" s="28" t="s">
        <v>72</v>
      </c>
      <c r="N37" s="28" t="s">
        <v>73</v>
      </c>
      <c r="O37" s="28" t="s">
        <v>44</v>
      </c>
      <c r="P37" s="28" t="s">
        <v>31</v>
      </c>
      <c r="Q37" s="31" t="s">
        <v>74</v>
      </c>
      <c r="R37" s="139">
        <v>45991</v>
      </c>
      <c r="S37" s="33" t="s">
        <v>75</v>
      </c>
      <c r="T37" s="3"/>
      <c r="U37" s="34" t="str">
        <f t="shared" si="5"/>
        <v>Q3 2026</v>
      </c>
    </row>
    <row r="38" spans="1:21" ht="14.85" customHeight="1" thickBot="1">
      <c r="A38" s="126"/>
      <c r="B38" s="13" t="s">
        <v>22</v>
      </c>
      <c r="C38" s="135" t="s">
        <v>23</v>
      </c>
      <c r="D38" s="124"/>
      <c r="E38" s="116"/>
      <c r="F38" s="136"/>
      <c r="G38" s="48">
        <v>0</v>
      </c>
      <c r="H38" s="47">
        <f>35*5.2</f>
        <v>182</v>
      </c>
      <c r="I38" s="49" t="s">
        <v>47</v>
      </c>
      <c r="J38" s="40">
        <v>46081</v>
      </c>
      <c r="K38" s="49" t="s">
        <v>70</v>
      </c>
      <c r="L38" s="49" t="s">
        <v>71</v>
      </c>
      <c r="M38" s="49" t="s">
        <v>76</v>
      </c>
      <c r="N38" s="49" t="s">
        <v>73</v>
      </c>
      <c r="O38" s="49" t="s">
        <v>39</v>
      </c>
      <c r="P38" s="49" t="s">
        <v>39</v>
      </c>
      <c r="Q38" s="52" t="s">
        <v>74</v>
      </c>
      <c r="R38" s="140">
        <v>45991</v>
      </c>
      <c r="S38" s="33" t="s">
        <v>75</v>
      </c>
      <c r="T38" s="3"/>
      <c r="U38" s="34" t="str">
        <f t="shared" si="5"/>
        <v>Q3 2026</v>
      </c>
    </row>
    <row r="39" spans="1:21" ht="14.85" customHeight="1" thickBot="1">
      <c r="A39" s="126"/>
      <c r="B39" s="13" t="s">
        <v>22</v>
      </c>
      <c r="C39" s="135" t="s">
        <v>23</v>
      </c>
      <c r="D39" s="124"/>
      <c r="E39" s="116"/>
      <c r="F39" s="136"/>
      <c r="G39" s="55">
        <v>0</v>
      </c>
      <c r="H39" s="54">
        <f>4*5.2</f>
        <v>20.8</v>
      </c>
      <c r="I39" s="56" t="s">
        <v>47</v>
      </c>
      <c r="J39" s="40">
        <v>46081</v>
      </c>
      <c r="K39" s="56" t="s">
        <v>70</v>
      </c>
      <c r="L39" s="56" t="s">
        <v>71</v>
      </c>
      <c r="M39" s="56" t="s">
        <v>76</v>
      </c>
      <c r="N39" s="56" t="s">
        <v>73</v>
      </c>
      <c r="O39" s="56" t="s">
        <v>39</v>
      </c>
      <c r="P39" s="56" t="s">
        <v>39</v>
      </c>
      <c r="Q39" s="58" t="s">
        <v>74</v>
      </c>
      <c r="R39" s="32">
        <v>46112</v>
      </c>
      <c r="S39" s="33" t="s">
        <v>75</v>
      </c>
      <c r="T39" s="3"/>
      <c r="U39" s="34" t="str">
        <f t="shared" si="5"/>
        <v>Q4 2026</v>
      </c>
    </row>
    <row r="40" spans="1:21" ht="14.4" thickBot="1">
      <c r="A40" s="126"/>
      <c r="B40" s="13" t="s">
        <v>22</v>
      </c>
      <c r="C40" s="135" t="s">
        <v>23</v>
      </c>
      <c r="D40" s="124"/>
      <c r="E40" s="116"/>
      <c r="F40" s="141">
        <v>250</v>
      </c>
      <c r="G40" s="37">
        <v>175</v>
      </c>
      <c r="H40" s="37">
        <v>0</v>
      </c>
      <c r="I40" s="39" t="s">
        <v>47</v>
      </c>
      <c r="J40" s="40">
        <v>46081</v>
      </c>
      <c r="K40" s="39" t="s">
        <v>77</v>
      </c>
      <c r="L40" s="39" t="s">
        <v>78</v>
      </c>
      <c r="M40" s="39" t="s">
        <v>79</v>
      </c>
      <c r="N40" s="39" t="s">
        <v>73</v>
      </c>
      <c r="O40" s="39" t="s">
        <v>80</v>
      </c>
      <c r="P40" s="39" t="s">
        <v>38</v>
      </c>
      <c r="Q40" s="42" t="s">
        <v>39</v>
      </c>
      <c r="R40" s="43">
        <v>45838</v>
      </c>
      <c r="S40" s="33" t="s">
        <v>81</v>
      </c>
      <c r="T40" s="3"/>
      <c r="U40" s="34" t="str">
        <f t="shared" si="5"/>
        <v>Q1 2026</v>
      </c>
    </row>
    <row r="41" spans="1:21" ht="14.4" thickBot="1">
      <c r="A41" s="126"/>
      <c r="B41" s="13" t="s">
        <v>22</v>
      </c>
      <c r="C41" s="135" t="s">
        <v>23</v>
      </c>
      <c r="D41" s="124"/>
      <c r="E41" s="116"/>
      <c r="F41" s="141"/>
      <c r="G41" s="37">
        <v>75</v>
      </c>
      <c r="H41" s="37">
        <v>0</v>
      </c>
      <c r="I41" s="39" t="s">
        <v>47</v>
      </c>
      <c r="J41" s="40">
        <v>46081</v>
      </c>
      <c r="K41" s="39" t="s">
        <v>77</v>
      </c>
      <c r="L41" s="39" t="s">
        <v>78</v>
      </c>
      <c r="M41" s="39" t="s">
        <v>79</v>
      </c>
      <c r="N41" s="39" t="s">
        <v>73</v>
      </c>
      <c r="O41" s="39" t="s">
        <v>80</v>
      </c>
      <c r="P41" s="39" t="s">
        <v>38</v>
      </c>
      <c r="Q41" s="42" t="s">
        <v>39</v>
      </c>
      <c r="R41" s="43">
        <v>45900</v>
      </c>
      <c r="S41" s="33" t="s">
        <v>81</v>
      </c>
      <c r="T41" s="3"/>
      <c r="U41" s="34" t="str">
        <f t="shared" si="5"/>
        <v>Q2 2026</v>
      </c>
    </row>
    <row r="42" spans="1:21" ht="15.6" customHeight="1" thickBot="1">
      <c r="A42" s="126"/>
      <c r="B42" s="13" t="s">
        <v>22</v>
      </c>
      <c r="C42" s="135" t="s">
        <v>23</v>
      </c>
      <c r="D42" s="124"/>
      <c r="E42" s="116"/>
      <c r="F42" s="141">
        <v>150</v>
      </c>
      <c r="G42" s="142">
        <v>75</v>
      </c>
      <c r="H42" s="47" t="s">
        <v>39</v>
      </c>
      <c r="I42" s="49" t="s">
        <v>47</v>
      </c>
      <c r="J42" s="50">
        <v>46081</v>
      </c>
      <c r="K42" s="49" t="s">
        <v>82</v>
      </c>
      <c r="L42" s="49" t="s">
        <v>48</v>
      </c>
      <c r="M42" s="49" t="s">
        <v>79</v>
      </c>
      <c r="N42" s="49" t="s">
        <v>73</v>
      </c>
      <c r="O42" s="49" t="s">
        <v>80</v>
      </c>
      <c r="P42" s="49" t="s">
        <v>38</v>
      </c>
      <c r="Q42" s="52" t="s">
        <v>39</v>
      </c>
      <c r="R42" s="143">
        <v>46065</v>
      </c>
      <c r="S42" s="33" t="s">
        <v>83</v>
      </c>
      <c r="T42" s="3"/>
      <c r="U42" s="34" t="str">
        <f t="shared" si="5"/>
        <v>Q4 2026</v>
      </c>
    </row>
    <row r="43" spans="1:21" ht="15.6" customHeight="1" thickBot="1">
      <c r="A43" s="126"/>
      <c r="B43" s="144" t="s">
        <v>22</v>
      </c>
      <c r="C43" s="145" t="s">
        <v>23</v>
      </c>
      <c r="D43" s="124"/>
      <c r="E43" s="116"/>
      <c r="F43" s="146"/>
      <c r="G43" s="147">
        <v>75</v>
      </c>
      <c r="H43" s="148" t="s">
        <v>39</v>
      </c>
      <c r="I43" s="149" t="s">
        <v>47</v>
      </c>
      <c r="J43" s="150">
        <v>46081</v>
      </c>
      <c r="K43" s="149" t="s">
        <v>82</v>
      </c>
      <c r="L43" s="149" t="s">
        <v>48</v>
      </c>
      <c r="M43" s="149" t="s">
        <v>79</v>
      </c>
      <c r="N43" s="149" t="s">
        <v>73</v>
      </c>
      <c r="O43" s="149" t="s">
        <v>80</v>
      </c>
      <c r="P43" s="149" t="s">
        <v>38</v>
      </c>
      <c r="Q43" s="151" t="s">
        <v>39</v>
      </c>
      <c r="R43" s="152">
        <v>46112</v>
      </c>
      <c r="S43" s="33" t="s">
        <v>83</v>
      </c>
      <c r="T43" s="3"/>
      <c r="U43" s="34" t="str">
        <f t="shared" si="5"/>
        <v>Q4 2026</v>
      </c>
    </row>
    <row r="44" spans="1:21" ht="15" thickTop="1" thickBot="1">
      <c r="A44" s="126"/>
      <c r="B44" s="153"/>
      <c r="C44" s="154"/>
      <c r="D44" s="155"/>
      <c r="E44" s="156"/>
      <c r="F44" s="93"/>
      <c r="G44" s="93"/>
      <c r="H44" s="93"/>
      <c r="I44" s="94"/>
      <c r="J44" s="94"/>
      <c r="K44" s="94"/>
      <c r="L44" s="94"/>
      <c r="M44" s="94"/>
      <c r="N44" s="94"/>
      <c r="O44" s="94"/>
      <c r="P44" s="94"/>
      <c r="Q44" s="94"/>
      <c r="R44" s="157"/>
      <c r="S44" s="80"/>
      <c r="T44" s="3"/>
      <c r="U44" s="3"/>
    </row>
    <row r="45" spans="1:21" ht="20.100000000000001" customHeight="1">
      <c r="A45" s="158">
        <f>A33+1</f>
        <v>6</v>
      </c>
      <c r="B45" s="159" t="s">
        <v>22</v>
      </c>
      <c r="C45" s="160" t="s">
        <v>23</v>
      </c>
      <c r="D45" s="161"/>
      <c r="E45" s="162">
        <v>650</v>
      </c>
      <c r="F45" s="163">
        <v>134</v>
      </c>
      <c r="G45" s="163">
        <v>134</v>
      </c>
      <c r="H45" s="163">
        <v>0</v>
      </c>
      <c r="I45" s="164" t="s">
        <v>84</v>
      </c>
      <c r="J45" s="165">
        <v>47483</v>
      </c>
      <c r="K45" s="164" t="s">
        <v>85</v>
      </c>
      <c r="L45" s="164" t="s">
        <v>86</v>
      </c>
      <c r="M45" s="166" t="s">
        <v>87</v>
      </c>
      <c r="N45" s="164" t="s">
        <v>73</v>
      </c>
      <c r="O45" s="164" t="s">
        <v>37</v>
      </c>
      <c r="P45" s="164" t="s">
        <v>36</v>
      </c>
      <c r="Q45" s="167" t="s">
        <v>39</v>
      </c>
      <c r="R45" s="168">
        <v>46568</v>
      </c>
      <c r="S45" s="169" t="s">
        <v>40</v>
      </c>
      <c r="T45" s="3"/>
      <c r="U45" s="34" t="str">
        <f t="shared" ref="U45:U49" si="6">IF(ROUNDUP(MONTH(R45)/3,0)-1=0,_xlfn.CONCAT("Q",4," ",YEAR(R45)),_xlfn.CONCAT("Q",ROUNDUP(MONTH(R45)/3,0)-1," ",YEAR(R45)+1))</f>
        <v>Q1 2028</v>
      </c>
    </row>
    <row r="46" spans="1:21" ht="27" customHeight="1">
      <c r="A46" s="158"/>
      <c r="B46" s="159" t="s">
        <v>22</v>
      </c>
      <c r="C46" s="160" t="s">
        <v>23</v>
      </c>
      <c r="D46" s="161"/>
      <c r="E46" s="162"/>
      <c r="F46" s="170">
        <v>250</v>
      </c>
      <c r="G46" s="171">
        <v>250</v>
      </c>
      <c r="H46" s="172">
        <v>0</v>
      </c>
      <c r="I46" s="166" t="s">
        <v>84</v>
      </c>
      <c r="J46" s="173">
        <v>47483</v>
      </c>
      <c r="K46" s="166" t="s">
        <v>62</v>
      </c>
      <c r="L46" s="174" t="s">
        <v>88</v>
      </c>
      <c r="M46" s="175" t="s">
        <v>87</v>
      </c>
      <c r="N46" s="166" t="s">
        <v>73</v>
      </c>
      <c r="O46" s="164" t="s">
        <v>44</v>
      </c>
      <c r="P46" s="176" t="s">
        <v>36</v>
      </c>
      <c r="Q46" s="177" t="s">
        <v>89</v>
      </c>
      <c r="R46" s="178">
        <v>46568</v>
      </c>
      <c r="S46" s="169" t="s">
        <v>40</v>
      </c>
      <c r="T46" s="3"/>
      <c r="U46" s="34" t="str">
        <f t="shared" si="6"/>
        <v>Q1 2028</v>
      </c>
    </row>
    <row r="47" spans="1:21" ht="27" customHeight="1">
      <c r="A47" s="158"/>
      <c r="B47" s="159" t="s">
        <v>22</v>
      </c>
      <c r="C47" s="160" t="s">
        <v>23</v>
      </c>
      <c r="D47" s="161"/>
      <c r="E47" s="162"/>
      <c r="F47" s="170">
        <f>150-83</f>
        <v>67</v>
      </c>
      <c r="G47" s="170">
        <f>150-83</f>
        <v>67</v>
      </c>
      <c r="H47" s="179">
        <v>0</v>
      </c>
      <c r="I47" s="175" t="s">
        <v>84</v>
      </c>
      <c r="J47" s="180">
        <v>47483</v>
      </c>
      <c r="K47" s="175" t="s">
        <v>62</v>
      </c>
      <c r="L47" s="174" t="s">
        <v>88</v>
      </c>
      <c r="M47" s="175" t="s">
        <v>87</v>
      </c>
      <c r="N47" s="175" t="s">
        <v>73</v>
      </c>
      <c r="O47" s="164" t="s">
        <v>44</v>
      </c>
      <c r="P47" s="181" t="s">
        <v>36</v>
      </c>
      <c r="Q47" s="177" t="s">
        <v>89</v>
      </c>
      <c r="R47" s="178">
        <v>46568</v>
      </c>
      <c r="S47" s="169" t="s">
        <v>40</v>
      </c>
      <c r="T47" s="3"/>
      <c r="U47" s="34" t="str">
        <f t="shared" si="6"/>
        <v>Q1 2028</v>
      </c>
    </row>
    <row r="48" spans="1:21" ht="27" customHeight="1">
      <c r="A48" s="158"/>
      <c r="B48" s="159" t="s">
        <v>22</v>
      </c>
      <c r="C48" s="160" t="s">
        <v>23</v>
      </c>
      <c r="D48" s="161"/>
      <c r="E48" s="162"/>
      <c r="F48" s="170">
        <v>100</v>
      </c>
      <c r="G48" s="170">
        <v>100</v>
      </c>
      <c r="H48" s="179">
        <v>0</v>
      </c>
      <c r="I48" s="175" t="s">
        <v>84</v>
      </c>
      <c r="J48" s="180">
        <v>47483</v>
      </c>
      <c r="K48" s="175" t="s">
        <v>62</v>
      </c>
      <c r="L48" s="174" t="s">
        <v>88</v>
      </c>
      <c r="M48" s="175" t="s">
        <v>87</v>
      </c>
      <c r="N48" s="175" t="s">
        <v>73</v>
      </c>
      <c r="O48" s="164" t="s">
        <v>44</v>
      </c>
      <c r="P48" s="181" t="s">
        <v>36</v>
      </c>
      <c r="Q48" s="177" t="s">
        <v>89</v>
      </c>
      <c r="R48" s="182">
        <v>46568</v>
      </c>
      <c r="S48" s="169" t="s">
        <v>40</v>
      </c>
      <c r="T48" s="3"/>
      <c r="U48" s="34" t="str">
        <f t="shared" si="6"/>
        <v>Q1 2028</v>
      </c>
    </row>
    <row r="49" spans="1:21" ht="27" customHeight="1" thickBot="1">
      <c r="A49" s="158"/>
      <c r="B49" s="183" t="s">
        <v>22</v>
      </c>
      <c r="C49" s="184" t="s">
        <v>23</v>
      </c>
      <c r="D49" s="161"/>
      <c r="E49" s="162"/>
      <c r="F49" s="185">
        <v>99</v>
      </c>
      <c r="G49" s="185">
        <v>99</v>
      </c>
      <c r="H49" s="186">
        <v>0</v>
      </c>
      <c r="I49" s="187" t="s">
        <v>84</v>
      </c>
      <c r="J49" s="188">
        <v>47483</v>
      </c>
      <c r="K49" s="187" t="s">
        <v>62</v>
      </c>
      <c r="L49" s="189" t="s">
        <v>88</v>
      </c>
      <c r="M49" s="187" t="s">
        <v>87</v>
      </c>
      <c r="N49" s="187" t="s">
        <v>73</v>
      </c>
      <c r="O49" s="187" t="s">
        <v>44</v>
      </c>
      <c r="P49" s="190" t="s">
        <v>36</v>
      </c>
      <c r="Q49" s="191" t="s">
        <v>89</v>
      </c>
      <c r="R49" s="192">
        <v>46568</v>
      </c>
      <c r="S49" s="169" t="s">
        <v>40</v>
      </c>
      <c r="T49" s="3"/>
      <c r="U49" s="34" t="str">
        <f t="shared" si="6"/>
        <v>Q1 2028</v>
      </c>
    </row>
    <row r="50" spans="1:21" ht="15" thickTop="1" thickBot="1">
      <c r="A50" s="158"/>
      <c r="B50" s="159"/>
      <c r="C50" s="160"/>
      <c r="D50" s="161"/>
      <c r="E50" s="193"/>
      <c r="F50" s="194"/>
      <c r="G50" s="194"/>
      <c r="H50" s="194"/>
      <c r="I50" s="195"/>
      <c r="J50" s="195"/>
      <c r="K50" s="195"/>
      <c r="L50" s="195"/>
      <c r="M50" s="195"/>
      <c r="N50" s="195"/>
      <c r="O50" s="195"/>
      <c r="P50" s="195"/>
      <c r="Q50" s="195"/>
      <c r="R50" s="196"/>
      <c r="S50" s="2"/>
      <c r="T50" s="3"/>
      <c r="U50" s="3"/>
    </row>
    <row r="51" spans="1:21" ht="15.6" customHeight="1" thickBot="1">
      <c r="A51" s="21">
        <f>A45+1</f>
        <v>7</v>
      </c>
      <c r="B51" s="113" t="s">
        <v>22</v>
      </c>
      <c r="C51" s="114" t="s">
        <v>23</v>
      </c>
      <c r="D51" s="197" t="s">
        <v>24</v>
      </c>
      <c r="E51" s="156">
        <v>1000</v>
      </c>
      <c r="F51" s="198">
        <v>225</v>
      </c>
      <c r="G51" s="117">
        <v>175</v>
      </c>
      <c r="H51" s="118">
        <v>0</v>
      </c>
      <c r="I51" s="119" t="s">
        <v>47</v>
      </c>
      <c r="J51" s="120">
        <v>46081</v>
      </c>
      <c r="K51" s="119" t="s">
        <v>82</v>
      </c>
      <c r="L51" s="119" t="s">
        <v>90</v>
      </c>
      <c r="M51" s="119" t="s">
        <v>91</v>
      </c>
      <c r="N51" s="119" t="s">
        <v>92</v>
      </c>
      <c r="O51" s="119" t="s">
        <v>80</v>
      </c>
      <c r="P51" s="119" t="s">
        <v>38</v>
      </c>
      <c r="Q51" s="121" t="s">
        <v>39</v>
      </c>
      <c r="R51" s="199">
        <v>45745</v>
      </c>
      <c r="S51" s="33" t="s">
        <v>93</v>
      </c>
      <c r="T51" s="3"/>
      <c r="U51" s="34" t="str">
        <f t="shared" ref="U51:U66" si="7">IF(ROUNDUP(MONTH(R51)/3,0)-1=0,_xlfn.CONCAT("Q",4," ",YEAR(R51)),_xlfn.CONCAT("Q",ROUNDUP(MONTH(R51)/3,0)-1," ",YEAR(R51)+1))</f>
        <v>Q4 2025</v>
      </c>
    </row>
    <row r="52" spans="1:21" ht="15.6" customHeight="1" thickBot="1">
      <c r="A52" s="21"/>
      <c r="B52" s="22" t="s">
        <v>22</v>
      </c>
      <c r="C52" s="23" t="s">
        <v>23</v>
      </c>
      <c r="D52" s="197"/>
      <c r="E52" s="156"/>
      <c r="F52" s="198"/>
      <c r="G52" s="26">
        <v>50</v>
      </c>
      <c r="H52" s="26">
        <v>0</v>
      </c>
      <c r="I52" s="28" t="s">
        <v>47</v>
      </c>
      <c r="J52" s="29">
        <v>46081</v>
      </c>
      <c r="K52" s="28" t="s">
        <v>82</v>
      </c>
      <c r="L52" s="28" t="s">
        <v>90</v>
      </c>
      <c r="M52" s="28" t="s">
        <v>91</v>
      </c>
      <c r="N52" s="28" t="s">
        <v>92</v>
      </c>
      <c r="O52" s="28" t="s">
        <v>80</v>
      </c>
      <c r="P52" s="28" t="s">
        <v>38</v>
      </c>
      <c r="Q52" s="31" t="s">
        <v>39</v>
      </c>
      <c r="R52" s="32">
        <v>45791</v>
      </c>
      <c r="S52" s="33" t="s">
        <v>93</v>
      </c>
      <c r="T52" s="3"/>
      <c r="U52" s="34" t="str">
        <f t="shared" si="7"/>
        <v>Q1 2026</v>
      </c>
    </row>
    <row r="53" spans="1:21" ht="14.4" thickBot="1">
      <c r="A53" s="21"/>
      <c r="B53" s="22" t="s">
        <v>22</v>
      </c>
      <c r="C53" s="23" t="s">
        <v>23</v>
      </c>
      <c r="D53" s="197"/>
      <c r="E53" s="156"/>
      <c r="F53" s="200">
        <v>50</v>
      </c>
      <c r="G53" s="201">
        <v>0</v>
      </c>
      <c r="H53" s="26">
        <f>5.2*10</f>
        <v>52</v>
      </c>
      <c r="I53" s="28" t="s">
        <v>47</v>
      </c>
      <c r="J53" s="29">
        <v>46081</v>
      </c>
      <c r="K53" s="28" t="s">
        <v>94</v>
      </c>
      <c r="L53" s="28" t="s">
        <v>95</v>
      </c>
      <c r="M53" s="28" t="s">
        <v>96</v>
      </c>
      <c r="N53" s="28" t="s">
        <v>92</v>
      </c>
      <c r="O53" s="28" t="s">
        <v>39</v>
      </c>
      <c r="P53" s="28" t="s">
        <v>39</v>
      </c>
      <c r="Q53" s="31" t="s">
        <v>39</v>
      </c>
      <c r="R53" s="32">
        <v>45747</v>
      </c>
      <c r="S53" s="33" t="s">
        <v>97</v>
      </c>
      <c r="T53" s="3"/>
      <c r="U53" s="34" t="str">
        <f t="shared" si="7"/>
        <v>Q4 2025</v>
      </c>
    </row>
    <row r="54" spans="1:21" ht="14.4" thickBot="1">
      <c r="A54" s="21"/>
      <c r="B54" s="22" t="s">
        <v>22</v>
      </c>
      <c r="C54" s="23" t="s">
        <v>23</v>
      </c>
      <c r="D54" s="197"/>
      <c r="E54" s="156"/>
      <c r="F54" s="200"/>
      <c r="G54" s="48">
        <v>25</v>
      </c>
      <c r="H54" s="26">
        <v>0</v>
      </c>
      <c r="I54" s="28" t="s">
        <v>47</v>
      </c>
      <c r="J54" s="29">
        <v>46081</v>
      </c>
      <c r="K54" s="28" t="s">
        <v>98</v>
      </c>
      <c r="L54" s="28" t="s">
        <v>95</v>
      </c>
      <c r="M54" s="28" t="s">
        <v>99</v>
      </c>
      <c r="N54" s="28" t="s">
        <v>92</v>
      </c>
      <c r="O54" s="28" t="s">
        <v>80</v>
      </c>
      <c r="P54" s="28" t="s">
        <v>38</v>
      </c>
      <c r="Q54" s="31"/>
      <c r="R54" s="32">
        <v>46173</v>
      </c>
      <c r="S54" s="33" t="s">
        <v>45</v>
      </c>
      <c r="T54" s="3" t="s">
        <v>46</v>
      </c>
      <c r="U54" s="34" t="str">
        <f t="shared" si="7"/>
        <v>Q1 2027</v>
      </c>
    </row>
    <row r="55" spans="1:21" ht="14.4" thickBot="1">
      <c r="A55" s="21"/>
      <c r="B55" s="22" t="s">
        <v>22</v>
      </c>
      <c r="C55" s="23" t="s">
        <v>23</v>
      </c>
      <c r="D55" s="197"/>
      <c r="E55" s="156"/>
      <c r="F55" s="200">
        <v>50</v>
      </c>
      <c r="G55" s="48">
        <v>25</v>
      </c>
      <c r="H55" s="26">
        <v>0</v>
      </c>
      <c r="I55" s="28" t="s">
        <v>47</v>
      </c>
      <c r="J55" s="29">
        <v>46081</v>
      </c>
      <c r="K55" s="28" t="s">
        <v>100</v>
      </c>
      <c r="L55" s="28" t="s">
        <v>101</v>
      </c>
      <c r="M55" s="28" t="s">
        <v>91</v>
      </c>
      <c r="N55" s="28" t="s">
        <v>92</v>
      </c>
      <c r="O55" s="28" t="s">
        <v>80</v>
      </c>
      <c r="P55" s="28" t="s">
        <v>38</v>
      </c>
      <c r="Q55" s="31"/>
      <c r="R55" s="32">
        <v>46173</v>
      </c>
      <c r="S55" s="33"/>
      <c r="T55" s="3" t="s">
        <v>46</v>
      </c>
      <c r="U55" s="34" t="str">
        <f t="shared" si="7"/>
        <v>Q1 2027</v>
      </c>
    </row>
    <row r="56" spans="1:21" ht="14.4" thickBot="1">
      <c r="A56" s="21"/>
      <c r="B56" s="22" t="s">
        <v>22</v>
      </c>
      <c r="C56" s="23" t="s">
        <v>23</v>
      </c>
      <c r="D56" s="197"/>
      <c r="E56" s="156"/>
      <c r="F56" s="200"/>
      <c r="G56" s="201">
        <v>0</v>
      </c>
      <c r="H56" s="26">
        <f>10*5.2</f>
        <v>52</v>
      </c>
      <c r="I56" s="28" t="s">
        <v>47</v>
      </c>
      <c r="J56" s="29">
        <v>46081</v>
      </c>
      <c r="K56" s="28" t="s">
        <v>102</v>
      </c>
      <c r="L56" s="28" t="s">
        <v>101</v>
      </c>
      <c r="M56" s="28" t="s">
        <v>103</v>
      </c>
      <c r="N56" s="28" t="s">
        <v>92</v>
      </c>
      <c r="O56" s="28" t="s">
        <v>39</v>
      </c>
      <c r="P56" s="28" t="s">
        <v>39</v>
      </c>
      <c r="Q56" s="31"/>
      <c r="R56" s="32">
        <v>45747</v>
      </c>
      <c r="S56" s="33"/>
      <c r="T56" s="3"/>
      <c r="U56" s="34" t="str">
        <f t="shared" si="7"/>
        <v>Q4 2025</v>
      </c>
    </row>
    <row r="57" spans="1:21" ht="14.4" thickBot="1">
      <c r="A57" s="21"/>
      <c r="B57" s="22" t="s">
        <v>22</v>
      </c>
      <c r="C57" s="23" t="s">
        <v>23</v>
      </c>
      <c r="D57" s="197"/>
      <c r="E57" s="156"/>
      <c r="F57" s="202">
        <v>250</v>
      </c>
      <c r="G57" s="47">
        <v>75</v>
      </c>
      <c r="H57" s="48">
        <v>0</v>
      </c>
      <c r="I57" s="49" t="s">
        <v>47</v>
      </c>
      <c r="J57" s="50">
        <v>46081</v>
      </c>
      <c r="K57" s="49" t="s">
        <v>104</v>
      </c>
      <c r="L57" s="49" t="s">
        <v>105</v>
      </c>
      <c r="M57" s="49" t="s">
        <v>99</v>
      </c>
      <c r="N57" s="49" t="s">
        <v>92</v>
      </c>
      <c r="O57" s="49" t="s">
        <v>80</v>
      </c>
      <c r="P57" s="49" t="s">
        <v>31</v>
      </c>
      <c r="Q57" s="52" t="s">
        <v>39</v>
      </c>
      <c r="R57" s="66">
        <v>46022</v>
      </c>
      <c r="S57" s="33"/>
      <c r="T57" s="3"/>
      <c r="U57" s="34" t="str">
        <f t="shared" si="7"/>
        <v>Q3 2026</v>
      </c>
    </row>
    <row r="58" spans="1:21" ht="14.4" thickBot="1">
      <c r="A58" s="21"/>
      <c r="B58" s="22" t="s">
        <v>22</v>
      </c>
      <c r="C58" s="23" t="s">
        <v>23</v>
      </c>
      <c r="D58" s="197"/>
      <c r="E58" s="156"/>
      <c r="F58" s="202"/>
      <c r="G58" s="26">
        <v>50</v>
      </c>
      <c r="H58" s="27">
        <v>0</v>
      </c>
      <c r="I58" s="28" t="s">
        <v>47</v>
      </c>
      <c r="J58" s="29">
        <v>46081</v>
      </c>
      <c r="K58" s="28" t="s">
        <v>104</v>
      </c>
      <c r="L58" s="28" t="s">
        <v>105</v>
      </c>
      <c r="M58" s="28" t="s">
        <v>99</v>
      </c>
      <c r="N58" s="28" t="s">
        <v>92</v>
      </c>
      <c r="O58" s="28" t="s">
        <v>80</v>
      </c>
      <c r="P58" s="28" t="s">
        <v>31</v>
      </c>
      <c r="Q58" s="31" t="s">
        <v>39</v>
      </c>
      <c r="R58" s="32">
        <v>45909</v>
      </c>
      <c r="S58" s="33"/>
      <c r="T58" s="3"/>
      <c r="U58" s="34" t="str">
        <f t="shared" si="7"/>
        <v>Q2 2026</v>
      </c>
    </row>
    <row r="59" spans="1:21" ht="14.4" thickBot="1">
      <c r="A59" s="21"/>
      <c r="B59" s="22" t="s">
        <v>22</v>
      </c>
      <c r="C59" s="23" t="s">
        <v>23</v>
      </c>
      <c r="D59" s="197"/>
      <c r="E59" s="156"/>
      <c r="F59" s="202"/>
      <c r="G59" s="27">
        <v>0</v>
      </c>
      <c r="H59" s="26">
        <f>19*5.2</f>
        <v>98.8</v>
      </c>
      <c r="I59" s="28" t="s">
        <v>47</v>
      </c>
      <c r="J59" s="29">
        <v>46081</v>
      </c>
      <c r="K59" s="28" t="s">
        <v>106</v>
      </c>
      <c r="L59" s="28" t="s">
        <v>105</v>
      </c>
      <c r="M59" s="28" t="s">
        <v>103</v>
      </c>
      <c r="N59" s="28" t="s">
        <v>92</v>
      </c>
      <c r="O59" s="28" t="s">
        <v>39</v>
      </c>
      <c r="P59" s="28" t="s">
        <v>39</v>
      </c>
      <c r="Q59" s="31"/>
      <c r="R59" s="32">
        <v>45747</v>
      </c>
      <c r="S59" s="33"/>
      <c r="T59" s="3"/>
      <c r="U59" s="34" t="str">
        <f t="shared" si="7"/>
        <v>Q4 2025</v>
      </c>
    </row>
    <row r="60" spans="1:21" ht="14.4" thickBot="1">
      <c r="A60" s="21"/>
      <c r="B60" s="22" t="s">
        <v>22</v>
      </c>
      <c r="C60" s="23" t="s">
        <v>23</v>
      </c>
      <c r="D60" s="197"/>
      <c r="E60" s="156"/>
      <c r="F60" s="202"/>
      <c r="G60" s="26">
        <v>0</v>
      </c>
      <c r="H60" s="26">
        <f>5*5.2</f>
        <v>26</v>
      </c>
      <c r="I60" s="28" t="s">
        <v>47</v>
      </c>
      <c r="J60" s="29">
        <v>46081</v>
      </c>
      <c r="K60" s="28" t="s">
        <v>106</v>
      </c>
      <c r="L60" s="28" t="s">
        <v>105</v>
      </c>
      <c r="M60" s="28" t="s">
        <v>103</v>
      </c>
      <c r="N60" s="28" t="s">
        <v>92</v>
      </c>
      <c r="O60" s="28" t="s">
        <v>39</v>
      </c>
      <c r="P60" s="28" t="s">
        <v>39</v>
      </c>
      <c r="Q60" s="31"/>
      <c r="R60" s="32">
        <v>45790</v>
      </c>
      <c r="S60" s="33"/>
      <c r="T60" s="3"/>
      <c r="U60" s="34" t="str">
        <f t="shared" si="7"/>
        <v>Q1 2026</v>
      </c>
    </row>
    <row r="61" spans="1:21" ht="14.4" thickBot="1">
      <c r="A61" s="21"/>
      <c r="B61" s="22" t="s">
        <v>22</v>
      </c>
      <c r="C61" s="23" t="s">
        <v>23</v>
      </c>
      <c r="D61" s="197"/>
      <c r="E61" s="156"/>
      <c r="F61" s="202"/>
      <c r="G61" s="26">
        <v>0</v>
      </c>
      <c r="H61" s="26">
        <f>6*5.2</f>
        <v>31.200000000000003</v>
      </c>
      <c r="I61" s="28" t="s">
        <v>47</v>
      </c>
      <c r="J61" s="29">
        <v>46081</v>
      </c>
      <c r="K61" s="28" t="s">
        <v>106</v>
      </c>
      <c r="L61" s="28" t="s">
        <v>105</v>
      </c>
      <c r="M61" s="28" t="s">
        <v>103</v>
      </c>
      <c r="N61" s="28" t="s">
        <v>92</v>
      </c>
      <c r="O61" s="28" t="s">
        <v>39</v>
      </c>
      <c r="P61" s="28" t="s">
        <v>39</v>
      </c>
      <c r="Q61" s="31"/>
      <c r="R61" s="32">
        <v>45838</v>
      </c>
      <c r="S61" s="33"/>
      <c r="T61" s="3"/>
      <c r="U61" s="34" t="str">
        <f t="shared" si="7"/>
        <v>Q1 2026</v>
      </c>
    </row>
    <row r="62" spans="1:21" ht="14.4" thickBot="1">
      <c r="A62" s="21"/>
      <c r="B62" s="22" t="s">
        <v>22</v>
      </c>
      <c r="C62" s="23" t="s">
        <v>23</v>
      </c>
      <c r="D62" s="197"/>
      <c r="E62" s="156"/>
      <c r="F62" s="202"/>
      <c r="G62" s="26">
        <v>25</v>
      </c>
      <c r="H62" s="27">
        <v>0</v>
      </c>
      <c r="I62" s="28" t="s">
        <v>47</v>
      </c>
      <c r="J62" s="29">
        <v>46081</v>
      </c>
      <c r="K62" s="28" t="s">
        <v>104</v>
      </c>
      <c r="L62" s="28" t="s">
        <v>105</v>
      </c>
      <c r="M62" s="28" t="s">
        <v>99</v>
      </c>
      <c r="N62" s="28" t="s">
        <v>92</v>
      </c>
      <c r="O62" s="28" t="s">
        <v>80</v>
      </c>
      <c r="P62" s="28" t="s">
        <v>31</v>
      </c>
      <c r="Q62" s="31" t="s">
        <v>39</v>
      </c>
      <c r="R62" s="32">
        <v>46173</v>
      </c>
      <c r="S62" s="33"/>
      <c r="T62" s="3" t="s">
        <v>46</v>
      </c>
      <c r="U62" s="34" t="str">
        <f t="shared" si="7"/>
        <v>Q1 2027</v>
      </c>
    </row>
    <row r="63" spans="1:21" ht="14.4" thickBot="1">
      <c r="A63" s="21"/>
      <c r="B63" s="22" t="s">
        <v>22</v>
      </c>
      <c r="C63" s="23" t="s">
        <v>23</v>
      </c>
      <c r="D63" s="197"/>
      <c r="E63" s="156"/>
      <c r="F63" s="202"/>
      <c r="G63" s="26">
        <v>50</v>
      </c>
      <c r="H63" s="27">
        <v>0</v>
      </c>
      <c r="I63" s="28" t="s">
        <v>47</v>
      </c>
      <c r="J63" s="29">
        <v>46081</v>
      </c>
      <c r="K63" s="28" t="s">
        <v>104</v>
      </c>
      <c r="L63" s="28" t="s">
        <v>105</v>
      </c>
      <c r="M63" s="28" t="s">
        <v>99</v>
      </c>
      <c r="N63" s="28" t="s">
        <v>92</v>
      </c>
      <c r="O63" s="28" t="s">
        <v>80</v>
      </c>
      <c r="P63" s="28" t="s">
        <v>38</v>
      </c>
      <c r="Q63" s="31">
        <v>46141</v>
      </c>
      <c r="R63" s="32">
        <v>46173</v>
      </c>
      <c r="S63" s="44"/>
      <c r="T63" s="3" t="s">
        <v>107</v>
      </c>
      <c r="U63" s="34" t="str">
        <f t="shared" si="7"/>
        <v>Q1 2027</v>
      </c>
    </row>
    <row r="64" spans="1:21" ht="14.4" thickBot="1">
      <c r="A64" s="21"/>
      <c r="B64" s="22" t="s">
        <v>22</v>
      </c>
      <c r="C64" s="23" t="s">
        <v>23</v>
      </c>
      <c r="D64" s="197"/>
      <c r="E64" s="156"/>
      <c r="F64" s="203">
        <v>150</v>
      </c>
      <c r="G64" s="61">
        <v>150</v>
      </c>
      <c r="H64" s="62">
        <v>0</v>
      </c>
      <c r="I64" s="63" t="s">
        <v>47</v>
      </c>
      <c r="J64" s="64">
        <v>46081</v>
      </c>
      <c r="K64" s="63" t="s">
        <v>108</v>
      </c>
      <c r="L64" s="204" t="s">
        <v>109</v>
      </c>
      <c r="M64" s="63" t="s">
        <v>99</v>
      </c>
      <c r="N64" s="63" t="s">
        <v>92</v>
      </c>
      <c r="O64" s="63" t="s">
        <v>80</v>
      </c>
      <c r="P64" s="63" t="s">
        <v>38</v>
      </c>
      <c r="Q64" s="205">
        <v>46141</v>
      </c>
      <c r="R64" s="66">
        <v>46295</v>
      </c>
      <c r="S64" s="44" t="s">
        <v>75</v>
      </c>
      <c r="T64" s="3" t="s">
        <v>107</v>
      </c>
      <c r="U64" s="34" t="str">
        <f t="shared" si="7"/>
        <v>Q2 2027</v>
      </c>
    </row>
    <row r="65" spans="1:21" ht="16.350000000000001" customHeight="1" thickBot="1">
      <c r="A65" s="21"/>
      <c r="B65" s="22" t="s">
        <v>22</v>
      </c>
      <c r="C65" s="23" t="s">
        <v>23</v>
      </c>
      <c r="D65" s="197"/>
      <c r="E65" s="156"/>
      <c r="F65" s="206">
        <v>150</v>
      </c>
      <c r="G65" s="207">
        <v>150</v>
      </c>
      <c r="H65" s="48">
        <v>0</v>
      </c>
      <c r="I65" s="208" t="s">
        <v>47</v>
      </c>
      <c r="J65" s="209">
        <v>46081</v>
      </c>
      <c r="K65" s="208" t="s">
        <v>110</v>
      </c>
      <c r="L65" s="208" t="s">
        <v>111</v>
      </c>
      <c r="M65" s="208" t="s">
        <v>91</v>
      </c>
      <c r="N65" s="208" t="s">
        <v>92</v>
      </c>
      <c r="O65" s="208" t="s">
        <v>44</v>
      </c>
      <c r="P65" s="208" t="s">
        <v>38</v>
      </c>
      <c r="Q65" s="52">
        <v>46112</v>
      </c>
      <c r="R65" s="53">
        <v>46203</v>
      </c>
      <c r="S65" s="44" t="s">
        <v>112</v>
      </c>
      <c r="T65" s="3" t="s">
        <v>107</v>
      </c>
      <c r="U65" s="34" t="str">
        <f t="shared" si="7"/>
        <v>Q1 2027</v>
      </c>
    </row>
    <row r="66" spans="1:21" ht="14.4" thickBot="1">
      <c r="A66" s="21"/>
      <c r="B66" s="67" t="s">
        <v>22</v>
      </c>
      <c r="C66" s="68" t="s">
        <v>23</v>
      </c>
      <c r="D66" s="197"/>
      <c r="E66" s="156"/>
      <c r="F66" s="210">
        <v>125</v>
      </c>
      <c r="G66" s="211">
        <v>125</v>
      </c>
      <c r="H66" s="212">
        <v>0</v>
      </c>
      <c r="I66" s="213" t="s">
        <v>47</v>
      </c>
      <c r="J66" s="214">
        <v>46081</v>
      </c>
      <c r="K66" s="213" t="s">
        <v>108</v>
      </c>
      <c r="L66" s="213" t="s">
        <v>109</v>
      </c>
      <c r="M66" s="213" t="s">
        <v>91</v>
      </c>
      <c r="N66" s="213" t="s">
        <v>92</v>
      </c>
      <c r="O66" s="213" t="s">
        <v>80</v>
      </c>
      <c r="P66" s="213" t="s">
        <v>38</v>
      </c>
      <c r="Q66" s="215">
        <v>46141</v>
      </c>
      <c r="R66" s="216">
        <v>46295</v>
      </c>
      <c r="S66" s="44" t="s">
        <v>75</v>
      </c>
      <c r="T66" s="3" t="s">
        <v>107</v>
      </c>
      <c r="U66" s="34" t="str">
        <f t="shared" si="7"/>
        <v>Q2 2027</v>
      </c>
    </row>
    <row r="67" spans="1:21" ht="15" thickTop="1" thickBot="1">
      <c r="A67" s="217"/>
      <c r="B67" s="218"/>
      <c r="C67" s="219"/>
      <c r="D67" s="220"/>
      <c r="E67" s="221"/>
      <c r="F67" s="222"/>
      <c r="G67" s="223"/>
      <c r="H67" s="223"/>
      <c r="I67" s="224"/>
      <c r="J67" s="225"/>
      <c r="K67" s="224"/>
      <c r="L67" s="224"/>
      <c r="M67" s="224"/>
      <c r="N67" s="224"/>
      <c r="O67" s="226"/>
      <c r="P67" s="226"/>
      <c r="Q67" s="227"/>
      <c r="R67" s="228"/>
      <c r="S67" s="2"/>
      <c r="T67" s="3"/>
      <c r="U67" s="3"/>
    </row>
    <row r="68" spans="1:21" ht="14.4" thickBot="1">
      <c r="A68" s="229">
        <f>A51+1</f>
        <v>8</v>
      </c>
      <c r="B68" s="230" t="s">
        <v>22</v>
      </c>
      <c r="C68" s="231" t="s">
        <v>23</v>
      </c>
      <c r="D68" s="232" t="s">
        <v>24</v>
      </c>
      <c r="E68" s="233">
        <v>100</v>
      </c>
      <c r="F68" s="234">
        <v>100</v>
      </c>
      <c r="G68" s="235">
        <v>0</v>
      </c>
      <c r="H68" s="236">
        <f>5.2*10</f>
        <v>52</v>
      </c>
      <c r="I68" s="41" t="s">
        <v>84</v>
      </c>
      <c r="J68" s="237">
        <v>47483</v>
      </c>
      <c r="K68" s="41" t="s">
        <v>113</v>
      </c>
      <c r="L68" s="41" t="s">
        <v>48</v>
      </c>
      <c r="M68" s="41" t="s">
        <v>96</v>
      </c>
      <c r="N68" s="41" t="s">
        <v>92</v>
      </c>
      <c r="O68" s="41" t="s">
        <v>39</v>
      </c>
      <c r="P68" s="41" t="s">
        <v>39</v>
      </c>
      <c r="Q68" s="238" t="s">
        <v>39</v>
      </c>
      <c r="R68" s="239">
        <v>45747</v>
      </c>
      <c r="S68" s="33" t="s">
        <v>83</v>
      </c>
      <c r="T68" s="3"/>
      <c r="U68" s="34" t="str">
        <f t="shared" ref="U68:U69" si="8">IF(ROUNDUP(MONTH(R68)/3,0)-1=0,_xlfn.CONCAT("Q",4," ",YEAR(R68)),_xlfn.CONCAT("Q",ROUNDUP(MONTH(R68)/3,0)-1," ",YEAR(R68)+1))</f>
        <v>Q4 2025</v>
      </c>
    </row>
    <row r="69" spans="1:21" ht="14.4" thickBot="1">
      <c r="A69" s="240"/>
      <c r="B69" s="241" t="s">
        <v>22</v>
      </c>
      <c r="C69" s="242" t="s">
        <v>23</v>
      </c>
      <c r="D69" s="243"/>
      <c r="E69" s="244"/>
      <c r="F69" s="146"/>
      <c r="G69" s="245">
        <v>0</v>
      </c>
      <c r="H69" s="88">
        <f>5.2*10</f>
        <v>52</v>
      </c>
      <c r="I69" s="89" t="s">
        <v>84</v>
      </c>
      <c r="J69" s="90">
        <v>47483</v>
      </c>
      <c r="K69" s="89" t="s">
        <v>114</v>
      </c>
      <c r="L69" s="89" t="s">
        <v>48</v>
      </c>
      <c r="M69" s="89" t="s">
        <v>96</v>
      </c>
      <c r="N69" s="89" t="s">
        <v>92</v>
      </c>
      <c r="O69" s="89" t="s">
        <v>39</v>
      </c>
      <c r="P69" s="89" t="s">
        <v>39</v>
      </c>
      <c r="Q69" s="91" t="s">
        <v>39</v>
      </c>
      <c r="R69" s="152">
        <v>45764</v>
      </c>
      <c r="S69" s="33" t="s">
        <v>83</v>
      </c>
      <c r="T69" s="3"/>
      <c r="U69" s="34" t="str">
        <f t="shared" si="8"/>
        <v>Q1 2026</v>
      </c>
    </row>
    <row r="70" spans="1:21" ht="15" thickTop="1" thickBot="1">
      <c r="A70" s="246"/>
      <c r="B70" s="230"/>
      <c r="C70" s="231"/>
      <c r="D70" s="243"/>
      <c r="E70" s="244"/>
      <c r="F70" s="247"/>
      <c r="G70" s="247"/>
      <c r="H70" s="247"/>
      <c r="I70" s="248"/>
      <c r="J70" s="248"/>
      <c r="K70" s="248"/>
      <c r="L70" s="248"/>
      <c r="M70" s="248"/>
      <c r="N70" s="248"/>
      <c r="O70" s="248"/>
      <c r="P70" s="248"/>
      <c r="Q70" s="248"/>
      <c r="R70" s="249"/>
      <c r="S70" s="2"/>
      <c r="T70" s="3"/>
      <c r="U70" s="3"/>
    </row>
    <row r="71" spans="1:21" ht="14.4" thickBot="1">
      <c r="A71" s="158">
        <f>A68+1</f>
        <v>9</v>
      </c>
      <c r="B71" s="250" t="s">
        <v>22</v>
      </c>
      <c r="C71" s="242" t="s">
        <v>23</v>
      </c>
      <c r="D71" s="251" t="s">
        <v>24</v>
      </c>
      <c r="E71" s="244">
        <v>60</v>
      </c>
      <c r="F71" s="87">
        <v>60</v>
      </c>
      <c r="G71" s="87">
        <v>0</v>
      </c>
      <c r="H71" s="87">
        <f>5.2*12</f>
        <v>62.400000000000006</v>
      </c>
      <c r="I71" s="89" t="s">
        <v>84</v>
      </c>
      <c r="J71" s="90">
        <v>47483</v>
      </c>
      <c r="K71" s="89" t="s">
        <v>114</v>
      </c>
      <c r="L71" s="89" t="s">
        <v>71</v>
      </c>
      <c r="M71" s="89" t="s">
        <v>96</v>
      </c>
      <c r="N71" s="89" t="s">
        <v>92</v>
      </c>
      <c r="O71" s="89" t="s">
        <v>39</v>
      </c>
      <c r="P71" s="89" t="s">
        <v>39</v>
      </c>
      <c r="Q71" s="91" t="s">
        <v>39</v>
      </c>
      <c r="R71" s="152">
        <v>45838</v>
      </c>
      <c r="S71" s="33" t="s">
        <v>75</v>
      </c>
      <c r="T71" s="3"/>
      <c r="U71" s="34" t="str">
        <f t="shared" ref="U71" si="9">IF(ROUNDUP(MONTH(R71)/3,0)-1=0,_xlfn.CONCAT("Q",4," ",YEAR(R71)),_xlfn.CONCAT("Q",ROUNDUP(MONTH(R71)/3,0)-1," ",YEAR(R71)+1))</f>
        <v>Q1 2026</v>
      </c>
    </row>
    <row r="72" spans="1:21" ht="15" thickTop="1" thickBot="1">
      <c r="A72" s="126"/>
      <c r="B72" s="154"/>
      <c r="C72" s="218"/>
      <c r="D72" s="251"/>
      <c r="E72" s="244"/>
      <c r="F72" s="252"/>
      <c r="G72" s="253"/>
      <c r="H72" s="253"/>
      <c r="I72" s="254"/>
      <c r="J72" s="254"/>
      <c r="K72" s="254"/>
      <c r="L72" s="254"/>
      <c r="M72" s="254"/>
      <c r="N72" s="254"/>
      <c r="O72" s="254"/>
      <c r="P72" s="254"/>
      <c r="Q72" s="254"/>
      <c r="R72" s="255"/>
      <c r="S72" s="2"/>
      <c r="T72" s="3"/>
      <c r="U72" s="3"/>
    </row>
    <row r="73" spans="1:21">
      <c r="A73" s="76">
        <f>A71+1</f>
        <v>10</v>
      </c>
      <c r="B73" s="22" t="s">
        <v>22</v>
      </c>
      <c r="C73" s="23" t="s">
        <v>23</v>
      </c>
      <c r="D73" s="24" t="s">
        <v>24</v>
      </c>
      <c r="E73" s="25">
        <v>1050</v>
      </c>
      <c r="F73" s="256">
        <v>200</v>
      </c>
      <c r="G73" s="256">
        <v>200</v>
      </c>
      <c r="H73" s="257">
        <v>0</v>
      </c>
      <c r="I73" s="30" t="s">
        <v>47</v>
      </c>
      <c r="J73" s="258">
        <v>46081</v>
      </c>
      <c r="K73" s="30" t="s">
        <v>115</v>
      </c>
      <c r="L73" s="30" t="s">
        <v>105</v>
      </c>
      <c r="M73" s="30" t="s">
        <v>116</v>
      </c>
      <c r="N73" s="30" t="s">
        <v>117</v>
      </c>
      <c r="O73" s="30" t="s">
        <v>80</v>
      </c>
      <c r="P73" s="30" t="s">
        <v>38</v>
      </c>
      <c r="Q73" s="259" t="s">
        <v>39</v>
      </c>
      <c r="R73" s="260">
        <v>45747</v>
      </c>
      <c r="S73" s="33"/>
      <c r="T73" s="3"/>
      <c r="U73" s="34" t="str">
        <f t="shared" ref="U73:U87" si="10">IF(ROUNDUP(MONTH(R73)/3,0)-1=0,_xlfn.CONCAT("Q",4," ",YEAR(R73)),_xlfn.CONCAT("Q",ROUNDUP(MONTH(R73)/3,0)-1," ",YEAR(R73)+1))</f>
        <v>Q4 2025</v>
      </c>
    </row>
    <row r="74" spans="1:21">
      <c r="A74" s="76"/>
      <c r="B74" s="22" t="s">
        <v>22</v>
      </c>
      <c r="C74" s="23" t="s">
        <v>23</v>
      </c>
      <c r="D74" s="24"/>
      <c r="E74" s="25"/>
      <c r="F74" s="261">
        <v>200</v>
      </c>
      <c r="G74" s="261">
        <v>200</v>
      </c>
      <c r="H74" s="262">
        <v>0</v>
      </c>
      <c r="I74" s="263" t="s">
        <v>47</v>
      </c>
      <c r="J74" s="264">
        <v>46081</v>
      </c>
      <c r="K74" s="263" t="s">
        <v>118</v>
      </c>
      <c r="L74" s="263" t="s">
        <v>101</v>
      </c>
      <c r="M74" s="263" t="s">
        <v>116</v>
      </c>
      <c r="N74" s="263" t="s">
        <v>117</v>
      </c>
      <c r="O74" s="263" t="s">
        <v>80</v>
      </c>
      <c r="P74" s="263" t="s">
        <v>38</v>
      </c>
      <c r="Q74" s="265" t="s">
        <v>39</v>
      </c>
      <c r="R74" s="266">
        <v>45747</v>
      </c>
      <c r="S74" s="33"/>
      <c r="T74" s="3"/>
      <c r="U74" s="34" t="str">
        <f t="shared" si="10"/>
        <v>Q4 2025</v>
      </c>
    </row>
    <row r="75" spans="1:21">
      <c r="A75" s="76"/>
      <c r="B75" s="22" t="s">
        <v>22</v>
      </c>
      <c r="C75" s="23" t="s">
        <v>23</v>
      </c>
      <c r="D75" s="24"/>
      <c r="E75" s="25"/>
      <c r="F75" s="261">
        <v>25</v>
      </c>
      <c r="G75" s="261">
        <v>25</v>
      </c>
      <c r="H75" s="262">
        <v>20.8</v>
      </c>
      <c r="I75" s="263" t="s">
        <v>47</v>
      </c>
      <c r="J75" s="264">
        <v>46081</v>
      </c>
      <c r="K75" s="263" t="s">
        <v>119</v>
      </c>
      <c r="L75" s="263" t="s">
        <v>101</v>
      </c>
      <c r="M75" s="263" t="s">
        <v>120</v>
      </c>
      <c r="N75" s="263" t="s">
        <v>117</v>
      </c>
      <c r="O75" s="263" t="s">
        <v>80</v>
      </c>
      <c r="P75" s="263" t="s">
        <v>38</v>
      </c>
      <c r="Q75" s="265" t="s">
        <v>39</v>
      </c>
      <c r="R75" s="266">
        <v>45747</v>
      </c>
      <c r="S75" s="33"/>
      <c r="T75" s="3"/>
      <c r="U75" s="34" t="str">
        <f t="shared" si="10"/>
        <v>Q4 2025</v>
      </c>
    </row>
    <row r="76" spans="1:21">
      <c r="A76" s="76"/>
      <c r="B76" s="22" t="s">
        <v>22</v>
      </c>
      <c r="C76" s="23" t="s">
        <v>23</v>
      </c>
      <c r="D76" s="24"/>
      <c r="E76" s="25"/>
      <c r="F76" s="26">
        <v>25</v>
      </c>
      <c r="G76" s="26">
        <v>25</v>
      </c>
      <c r="H76" s="27">
        <v>0</v>
      </c>
      <c r="I76" s="28" t="s">
        <v>47</v>
      </c>
      <c r="J76" s="267">
        <v>46081</v>
      </c>
      <c r="K76" s="28" t="s">
        <v>121</v>
      </c>
      <c r="L76" s="28" t="s">
        <v>71</v>
      </c>
      <c r="M76" s="28" t="s">
        <v>116</v>
      </c>
      <c r="N76" s="28" t="s">
        <v>117</v>
      </c>
      <c r="O76" s="28" t="s">
        <v>80</v>
      </c>
      <c r="P76" s="28" t="s">
        <v>38</v>
      </c>
      <c r="Q76" s="31" t="s">
        <v>39</v>
      </c>
      <c r="R76" s="268">
        <v>45382</v>
      </c>
      <c r="S76" s="33" t="s">
        <v>75</v>
      </c>
      <c r="T76" s="3"/>
      <c r="U76" s="34" t="str">
        <f t="shared" si="10"/>
        <v>Q4 2024</v>
      </c>
    </row>
    <row r="77" spans="1:21">
      <c r="A77" s="76"/>
      <c r="B77" s="22" t="s">
        <v>22</v>
      </c>
      <c r="C77" s="23" t="s">
        <v>23</v>
      </c>
      <c r="D77" s="24"/>
      <c r="E77" s="25"/>
      <c r="F77" s="26">
        <v>25</v>
      </c>
      <c r="G77" s="26">
        <v>25</v>
      </c>
      <c r="H77" s="27">
        <v>0</v>
      </c>
      <c r="I77" s="28" t="s">
        <v>47</v>
      </c>
      <c r="J77" s="267">
        <v>46081</v>
      </c>
      <c r="K77" s="28" t="s">
        <v>121</v>
      </c>
      <c r="L77" s="28" t="s">
        <v>48</v>
      </c>
      <c r="M77" s="28" t="s">
        <v>116</v>
      </c>
      <c r="N77" s="28" t="s">
        <v>117</v>
      </c>
      <c r="O77" s="28" t="s">
        <v>80</v>
      </c>
      <c r="P77" s="28" t="s">
        <v>38</v>
      </c>
      <c r="Q77" s="31" t="s">
        <v>39</v>
      </c>
      <c r="R77" s="268">
        <v>45382</v>
      </c>
      <c r="S77" s="33" t="s">
        <v>83</v>
      </c>
      <c r="T77" s="3"/>
      <c r="U77" s="34" t="str">
        <f t="shared" si="10"/>
        <v>Q4 2024</v>
      </c>
    </row>
    <row r="78" spans="1:21">
      <c r="A78" s="76"/>
      <c r="B78" s="22" t="s">
        <v>22</v>
      </c>
      <c r="C78" s="23" t="s">
        <v>23</v>
      </c>
      <c r="D78" s="24"/>
      <c r="E78" s="25"/>
      <c r="F78" s="26">
        <v>25</v>
      </c>
      <c r="G78" s="26">
        <v>25</v>
      </c>
      <c r="H78" s="27">
        <v>0</v>
      </c>
      <c r="I78" s="28" t="s">
        <v>47</v>
      </c>
      <c r="J78" s="267">
        <v>46081</v>
      </c>
      <c r="K78" s="28" t="s">
        <v>121</v>
      </c>
      <c r="L78" s="28" t="s">
        <v>122</v>
      </c>
      <c r="M78" s="28" t="s">
        <v>116</v>
      </c>
      <c r="N78" s="28" t="s">
        <v>117</v>
      </c>
      <c r="O78" s="28" t="s">
        <v>80</v>
      </c>
      <c r="P78" s="28" t="s">
        <v>38</v>
      </c>
      <c r="Q78" s="31" t="s">
        <v>39</v>
      </c>
      <c r="R78" s="266">
        <v>45382</v>
      </c>
      <c r="S78" s="33" t="s">
        <v>123</v>
      </c>
      <c r="T78" s="3"/>
      <c r="U78" s="269" t="str">
        <f t="shared" si="10"/>
        <v>Q4 2024</v>
      </c>
    </row>
    <row r="79" spans="1:21">
      <c r="A79" s="76"/>
      <c r="B79" s="22" t="s">
        <v>22</v>
      </c>
      <c r="C79" s="23" t="s">
        <v>23</v>
      </c>
      <c r="D79" s="24"/>
      <c r="E79" s="25"/>
      <c r="F79" s="26">
        <v>25</v>
      </c>
      <c r="G79" s="26">
        <v>25</v>
      </c>
      <c r="H79" s="27">
        <v>0</v>
      </c>
      <c r="I79" s="28" t="s">
        <v>47</v>
      </c>
      <c r="J79" s="267">
        <v>46081</v>
      </c>
      <c r="K79" s="28" t="s">
        <v>121</v>
      </c>
      <c r="L79" s="28" t="s">
        <v>90</v>
      </c>
      <c r="M79" s="28" t="s">
        <v>116</v>
      </c>
      <c r="N79" s="28" t="s">
        <v>117</v>
      </c>
      <c r="O79" s="28" t="s">
        <v>80</v>
      </c>
      <c r="P79" s="28" t="s">
        <v>38</v>
      </c>
      <c r="Q79" s="31" t="s">
        <v>39</v>
      </c>
      <c r="R79" s="268">
        <v>45382</v>
      </c>
      <c r="S79" s="33" t="s">
        <v>93</v>
      </c>
      <c r="T79" s="3"/>
      <c r="U79" s="34" t="str">
        <f t="shared" si="10"/>
        <v>Q4 2024</v>
      </c>
    </row>
    <row r="80" spans="1:21">
      <c r="A80" s="76"/>
      <c r="B80" s="22" t="s">
        <v>22</v>
      </c>
      <c r="C80" s="23" t="s">
        <v>23</v>
      </c>
      <c r="D80" s="24"/>
      <c r="E80" s="25"/>
      <c r="F80" s="26">
        <v>25</v>
      </c>
      <c r="G80" s="26">
        <v>25</v>
      </c>
      <c r="H80" s="27">
        <v>0</v>
      </c>
      <c r="I80" s="28" t="s">
        <v>47</v>
      </c>
      <c r="J80" s="267">
        <v>46081</v>
      </c>
      <c r="K80" s="28" t="s">
        <v>124</v>
      </c>
      <c r="L80" s="28" t="s">
        <v>125</v>
      </c>
      <c r="M80" s="28" t="s">
        <v>116</v>
      </c>
      <c r="N80" s="28" t="s">
        <v>117</v>
      </c>
      <c r="O80" s="28" t="s">
        <v>80</v>
      </c>
      <c r="P80" s="28" t="s">
        <v>38</v>
      </c>
      <c r="Q80" s="31" t="s">
        <v>39</v>
      </c>
      <c r="R80" s="268">
        <v>45382</v>
      </c>
      <c r="S80" s="33" t="s">
        <v>126</v>
      </c>
      <c r="T80" s="3"/>
      <c r="U80" s="34" t="str">
        <f t="shared" si="10"/>
        <v>Q4 2024</v>
      </c>
    </row>
    <row r="81" spans="1:21">
      <c r="A81" s="76"/>
      <c r="B81" s="22" t="s">
        <v>22</v>
      </c>
      <c r="C81" s="23" t="s">
        <v>23</v>
      </c>
      <c r="D81" s="24"/>
      <c r="E81" s="25"/>
      <c r="F81" s="26">
        <v>12.5</v>
      </c>
      <c r="G81" s="26">
        <v>12.5</v>
      </c>
      <c r="H81" s="27">
        <v>0</v>
      </c>
      <c r="I81" s="28" t="s">
        <v>47</v>
      </c>
      <c r="J81" s="267">
        <v>46081</v>
      </c>
      <c r="K81" s="28" t="s">
        <v>121</v>
      </c>
      <c r="L81" s="28" t="s">
        <v>27</v>
      </c>
      <c r="M81" s="28" t="s">
        <v>116</v>
      </c>
      <c r="N81" s="28" t="s">
        <v>117</v>
      </c>
      <c r="O81" s="28" t="s">
        <v>80</v>
      </c>
      <c r="P81" s="28" t="s">
        <v>38</v>
      </c>
      <c r="Q81" s="31" t="s">
        <v>39</v>
      </c>
      <c r="R81" s="268">
        <v>45382</v>
      </c>
      <c r="S81" s="33" t="s">
        <v>32</v>
      </c>
      <c r="T81" s="3"/>
      <c r="U81" s="34" t="str">
        <f t="shared" si="10"/>
        <v>Q4 2024</v>
      </c>
    </row>
    <row r="82" spans="1:21">
      <c r="A82" s="76"/>
      <c r="B82" s="22" t="s">
        <v>22</v>
      </c>
      <c r="C82" s="23" t="s">
        <v>23</v>
      </c>
      <c r="D82" s="24"/>
      <c r="E82" s="25"/>
      <c r="F82" s="26">
        <v>12.5</v>
      </c>
      <c r="G82" s="26">
        <v>12.5</v>
      </c>
      <c r="H82" s="27">
        <v>0</v>
      </c>
      <c r="I82" s="28" t="s">
        <v>47</v>
      </c>
      <c r="J82" s="267">
        <v>46081</v>
      </c>
      <c r="K82" s="28" t="s">
        <v>121</v>
      </c>
      <c r="L82" s="28" t="s">
        <v>127</v>
      </c>
      <c r="M82" s="28" t="s">
        <v>116</v>
      </c>
      <c r="N82" s="28" t="s">
        <v>117</v>
      </c>
      <c r="O82" s="28" t="s">
        <v>80</v>
      </c>
      <c r="P82" s="28" t="s">
        <v>38</v>
      </c>
      <c r="Q82" s="31" t="s">
        <v>39</v>
      </c>
      <c r="R82" s="268">
        <v>45382</v>
      </c>
      <c r="S82" s="33" t="s">
        <v>128</v>
      </c>
      <c r="T82" s="3"/>
      <c r="U82" s="34" t="str">
        <f t="shared" si="10"/>
        <v>Q4 2024</v>
      </c>
    </row>
    <row r="83" spans="1:21">
      <c r="A83" s="76"/>
      <c r="B83" s="22" t="s">
        <v>22</v>
      </c>
      <c r="C83" s="23" t="s">
        <v>23</v>
      </c>
      <c r="D83" s="24"/>
      <c r="E83" s="25"/>
      <c r="F83" s="26">
        <v>12.5</v>
      </c>
      <c r="G83" s="26">
        <v>12.5</v>
      </c>
      <c r="H83" s="27">
        <v>0</v>
      </c>
      <c r="I83" s="28" t="s">
        <v>47</v>
      </c>
      <c r="J83" s="267">
        <v>46081</v>
      </c>
      <c r="K83" s="28" t="s">
        <v>121</v>
      </c>
      <c r="L83" s="28" t="s">
        <v>109</v>
      </c>
      <c r="M83" s="28" t="s">
        <v>116</v>
      </c>
      <c r="N83" s="28" t="s">
        <v>117</v>
      </c>
      <c r="O83" s="28" t="s">
        <v>80</v>
      </c>
      <c r="P83" s="28" t="s">
        <v>38</v>
      </c>
      <c r="Q83" s="31" t="s">
        <v>39</v>
      </c>
      <c r="R83" s="268">
        <v>45382</v>
      </c>
      <c r="S83" s="169" t="s">
        <v>40</v>
      </c>
      <c r="T83" s="3"/>
      <c r="U83" s="34" t="str">
        <f t="shared" si="10"/>
        <v>Q4 2024</v>
      </c>
    </row>
    <row r="84" spans="1:21">
      <c r="A84" s="76"/>
      <c r="B84" s="22" t="s">
        <v>22</v>
      </c>
      <c r="C84" s="23" t="s">
        <v>23</v>
      </c>
      <c r="D84" s="24"/>
      <c r="E84" s="25"/>
      <c r="F84" s="26">
        <v>12.5</v>
      </c>
      <c r="G84" s="26">
        <v>12.5</v>
      </c>
      <c r="H84" s="27">
        <v>0</v>
      </c>
      <c r="I84" s="28" t="s">
        <v>47</v>
      </c>
      <c r="J84" s="267">
        <v>46081</v>
      </c>
      <c r="K84" s="28" t="s">
        <v>121</v>
      </c>
      <c r="L84" s="28" t="s">
        <v>95</v>
      </c>
      <c r="M84" s="28" t="s">
        <v>116</v>
      </c>
      <c r="N84" s="28" t="s">
        <v>117</v>
      </c>
      <c r="O84" s="28" t="s">
        <v>80</v>
      </c>
      <c r="P84" s="28" t="s">
        <v>38</v>
      </c>
      <c r="Q84" s="31" t="s">
        <v>39</v>
      </c>
      <c r="R84" s="268">
        <v>45382</v>
      </c>
      <c r="S84" s="33" t="s">
        <v>129</v>
      </c>
      <c r="T84" s="3"/>
      <c r="U84" s="34" t="str">
        <f t="shared" si="10"/>
        <v>Q4 2024</v>
      </c>
    </row>
    <row r="85" spans="1:21">
      <c r="A85" s="76"/>
      <c r="B85" s="22" t="s">
        <v>22</v>
      </c>
      <c r="C85" s="23" t="s">
        <v>23</v>
      </c>
      <c r="D85" s="24"/>
      <c r="E85" s="25"/>
      <c r="F85" s="270">
        <v>400</v>
      </c>
      <c r="G85" s="261">
        <v>112.5</v>
      </c>
      <c r="H85" s="262">
        <v>0</v>
      </c>
      <c r="I85" s="263" t="s">
        <v>47</v>
      </c>
      <c r="J85" s="264">
        <v>46081</v>
      </c>
      <c r="K85" s="39" t="s">
        <v>121</v>
      </c>
      <c r="L85" s="263" t="s">
        <v>64</v>
      </c>
      <c r="M85" s="263" t="s">
        <v>130</v>
      </c>
      <c r="N85" s="263" t="s">
        <v>117</v>
      </c>
      <c r="O85" s="263" t="s">
        <v>80</v>
      </c>
      <c r="P85" s="263" t="s">
        <v>38</v>
      </c>
      <c r="Q85" s="265" t="s">
        <v>39</v>
      </c>
      <c r="R85" s="266">
        <v>45654</v>
      </c>
      <c r="S85" s="33" t="s">
        <v>67</v>
      </c>
      <c r="T85" s="3"/>
      <c r="U85" s="34" t="str">
        <f t="shared" si="10"/>
        <v>Q3 2025</v>
      </c>
    </row>
    <row r="86" spans="1:21">
      <c r="A86" s="76"/>
      <c r="B86" s="22" t="s">
        <v>22</v>
      </c>
      <c r="C86" s="23" t="s">
        <v>23</v>
      </c>
      <c r="D86" s="24"/>
      <c r="E86" s="25"/>
      <c r="F86" s="270"/>
      <c r="G86" s="26">
        <v>287.5</v>
      </c>
      <c r="H86" s="27"/>
      <c r="I86" s="28" t="s">
        <v>47</v>
      </c>
      <c r="J86" s="267">
        <v>46081</v>
      </c>
      <c r="K86" s="28" t="s">
        <v>121</v>
      </c>
      <c r="L86" s="28" t="s">
        <v>64</v>
      </c>
      <c r="M86" s="28" t="s">
        <v>130</v>
      </c>
      <c r="N86" s="28" t="s">
        <v>117</v>
      </c>
      <c r="O86" s="28" t="s">
        <v>80</v>
      </c>
      <c r="P86" s="28" t="s">
        <v>38</v>
      </c>
      <c r="Q86" s="31" t="s">
        <v>39</v>
      </c>
      <c r="R86" s="266">
        <v>45745</v>
      </c>
      <c r="S86" s="33" t="s">
        <v>67</v>
      </c>
      <c r="T86" s="3"/>
      <c r="U86" s="34" t="str">
        <f t="shared" si="10"/>
        <v>Q4 2025</v>
      </c>
    </row>
    <row r="87" spans="1:21" ht="14.4" thickBot="1">
      <c r="A87" s="76"/>
      <c r="B87" s="271" t="s">
        <v>22</v>
      </c>
      <c r="C87" s="67" t="s">
        <v>23</v>
      </c>
      <c r="D87" s="24"/>
      <c r="E87" s="25"/>
      <c r="F87" s="148">
        <v>50</v>
      </c>
      <c r="G87" s="148">
        <v>50</v>
      </c>
      <c r="H87" s="272">
        <v>0</v>
      </c>
      <c r="I87" s="149" t="s">
        <v>47</v>
      </c>
      <c r="J87" s="267">
        <v>46081</v>
      </c>
      <c r="K87" s="149" t="s">
        <v>131</v>
      </c>
      <c r="L87" s="149" t="s">
        <v>27</v>
      </c>
      <c r="M87" s="149" t="s">
        <v>132</v>
      </c>
      <c r="N87" s="149" t="s">
        <v>117</v>
      </c>
      <c r="O87" s="149" t="s">
        <v>30</v>
      </c>
      <c r="P87" s="149" t="s">
        <v>31</v>
      </c>
      <c r="Q87" s="151" t="s">
        <v>133</v>
      </c>
      <c r="R87" s="216">
        <v>45945</v>
      </c>
      <c r="S87" s="33" t="s">
        <v>32</v>
      </c>
      <c r="T87" s="3"/>
      <c r="U87" s="34" t="str">
        <f t="shared" si="10"/>
        <v>Q3 2026</v>
      </c>
    </row>
    <row r="88" spans="1:21" ht="15" thickTop="1" thickBot="1">
      <c r="A88" s="76"/>
      <c r="B88" s="273"/>
      <c r="C88" s="218"/>
      <c r="D88" s="274"/>
      <c r="E88" s="275"/>
      <c r="F88" s="222"/>
      <c r="G88" s="276"/>
      <c r="H88" s="277"/>
      <c r="I88" s="278"/>
      <c r="J88" s="279"/>
      <c r="K88" s="278"/>
      <c r="L88" s="278"/>
      <c r="M88" s="278"/>
      <c r="N88" s="278"/>
      <c r="O88" s="278"/>
      <c r="P88" s="278"/>
      <c r="Q88" s="280"/>
      <c r="R88" s="281"/>
      <c r="S88" s="2"/>
      <c r="T88" s="3"/>
      <c r="U88" s="3"/>
    </row>
    <row r="89" spans="1:21">
      <c r="A89" s="81">
        <f>A73+1</f>
        <v>11</v>
      </c>
      <c r="B89" s="282" t="s">
        <v>22</v>
      </c>
      <c r="C89" s="22" t="s">
        <v>23</v>
      </c>
      <c r="D89" s="283"/>
      <c r="E89" s="284">
        <v>250</v>
      </c>
      <c r="F89" s="285">
        <v>250</v>
      </c>
      <c r="G89" s="286" t="s">
        <v>39</v>
      </c>
      <c r="H89" s="287">
        <f>1*5.2</f>
        <v>5.2</v>
      </c>
      <c r="I89" s="51" t="s">
        <v>55</v>
      </c>
      <c r="J89" s="288">
        <v>46418</v>
      </c>
      <c r="K89" s="51" t="s">
        <v>113</v>
      </c>
      <c r="L89" s="51" t="s">
        <v>95</v>
      </c>
      <c r="M89" s="51" t="s">
        <v>134</v>
      </c>
      <c r="N89" s="51" t="s">
        <v>117</v>
      </c>
      <c r="O89" s="51"/>
      <c r="P89" s="51"/>
      <c r="Q89" s="289"/>
      <c r="R89" s="290">
        <v>46265</v>
      </c>
      <c r="S89" s="2"/>
      <c r="T89" s="3"/>
      <c r="U89" s="34" t="str">
        <f t="shared" ref="U89:U90" si="11">IF(ROUNDUP(MONTH(R89)/3,0)-1=0,_xlfn.CONCAT("Q",4," ",YEAR(R89)),_xlfn.CONCAT("Q",ROUNDUP(MONTH(R89)/3,0)-1," ",YEAR(R89)+1))</f>
        <v>Q2 2027</v>
      </c>
    </row>
    <row r="90" spans="1:21" ht="14.4" thickBot="1">
      <c r="A90" s="35"/>
      <c r="B90" s="67" t="s">
        <v>22</v>
      </c>
      <c r="C90" s="67" t="s">
        <v>23</v>
      </c>
      <c r="D90" s="229" t="s">
        <v>24</v>
      </c>
      <c r="E90" s="291"/>
      <c r="F90" s="292"/>
      <c r="G90" s="293">
        <v>0</v>
      </c>
      <c r="H90" s="148">
        <f>50*5.2</f>
        <v>260</v>
      </c>
      <c r="I90" s="294" t="s">
        <v>55</v>
      </c>
      <c r="J90" s="150">
        <v>46418</v>
      </c>
      <c r="K90" s="149" t="s">
        <v>113</v>
      </c>
      <c r="L90" s="149" t="s">
        <v>95</v>
      </c>
      <c r="M90" s="295" t="s">
        <v>134</v>
      </c>
      <c r="N90" s="149" t="s">
        <v>117</v>
      </c>
      <c r="O90" s="149" t="s">
        <v>39</v>
      </c>
      <c r="P90" s="149" t="s">
        <v>39</v>
      </c>
      <c r="Q90" s="151">
        <v>45382</v>
      </c>
      <c r="R90" s="296">
        <v>45497</v>
      </c>
      <c r="S90" s="33" t="s">
        <v>135</v>
      </c>
      <c r="T90" s="3"/>
      <c r="U90" s="34" t="str">
        <f t="shared" si="11"/>
        <v>Q2 2025</v>
      </c>
    </row>
    <row r="91" spans="1:21" ht="15" thickTop="1" thickBot="1">
      <c r="A91" s="105"/>
      <c r="B91" s="218"/>
      <c r="C91" s="218"/>
      <c r="D91" s="229"/>
      <c r="E91" s="291"/>
      <c r="F91" s="253">
        <f>E89-F89</f>
        <v>0</v>
      </c>
      <c r="G91" s="253">
        <f>0-SUM(G90:G90)</f>
        <v>0</v>
      </c>
      <c r="H91" s="253">
        <f>260-SUM(H90:H90)</f>
        <v>0</v>
      </c>
      <c r="I91" s="254"/>
      <c r="J91" s="254"/>
      <c r="K91" s="254"/>
      <c r="L91" s="254"/>
      <c r="M91" s="254"/>
      <c r="N91" s="254"/>
      <c r="O91" s="254"/>
      <c r="P91" s="254"/>
      <c r="Q91" s="254"/>
      <c r="R91" s="255"/>
      <c r="S91" s="2"/>
      <c r="T91" s="3"/>
      <c r="U91" s="3"/>
    </row>
    <row r="92" spans="1:21" ht="14.4" thickBot="1">
      <c r="A92" s="21">
        <f>A89+1</f>
        <v>12</v>
      </c>
      <c r="B92" s="113" t="s">
        <v>136</v>
      </c>
      <c r="C92" s="113" t="s">
        <v>23</v>
      </c>
      <c r="D92" s="240" t="s">
        <v>24</v>
      </c>
      <c r="E92" s="116">
        <f>1050</f>
        <v>1050</v>
      </c>
      <c r="F92" s="297">
        <v>250</v>
      </c>
      <c r="G92" s="130">
        <v>75</v>
      </c>
      <c r="H92" s="130">
        <v>0</v>
      </c>
      <c r="I92" s="130" t="s">
        <v>47</v>
      </c>
      <c r="J92" s="132">
        <v>46081</v>
      </c>
      <c r="K92" s="130" t="s">
        <v>56</v>
      </c>
      <c r="L92" s="130" t="s">
        <v>122</v>
      </c>
      <c r="M92" s="130" t="s">
        <v>137</v>
      </c>
      <c r="N92" s="130" t="s">
        <v>138</v>
      </c>
      <c r="O92" s="130" t="s">
        <v>44</v>
      </c>
      <c r="P92" s="130" t="s">
        <v>38</v>
      </c>
      <c r="Q92" s="133">
        <v>46104</v>
      </c>
      <c r="R92" s="298">
        <v>45991</v>
      </c>
      <c r="S92" s="33" t="s">
        <v>123</v>
      </c>
      <c r="T92" s="3"/>
      <c r="U92" s="269" t="str">
        <f t="shared" ref="U92:U118" si="12">IF(ROUNDUP(MONTH(R92)/3,0)-1=0,_xlfn.CONCAT("Q",4," ",YEAR(R92)),_xlfn.CONCAT("Q",ROUNDUP(MONTH(R92)/3,0)-1," ",YEAR(R92)+1))</f>
        <v>Q3 2026</v>
      </c>
    </row>
    <row r="93" spans="1:21" ht="14.4" thickBot="1">
      <c r="A93" s="21"/>
      <c r="B93" s="22" t="s">
        <v>136</v>
      </c>
      <c r="C93" s="22" t="s">
        <v>23</v>
      </c>
      <c r="D93" s="240"/>
      <c r="E93" s="116"/>
      <c r="F93" s="297"/>
      <c r="G93" s="26">
        <v>50</v>
      </c>
      <c r="H93" s="27">
        <v>0</v>
      </c>
      <c r="I93" s="28" t="s">
        <v>47</v>
      </c>
      <c r="J93" s="29">
        <v>46081</v>
      </c>
      <c r="K93" s="39" t="s">
        <v>56</v>
      </c>
      <c r="L93" s="28" t="s">
        <v>122</v>
      </c>
      <c r="M93" s="28" t="s">
        <v>137</v>
      </c>
      <c r="N93" s="28" t="s">
        <v>138</v>
      </c>
      <c r="O93" s="28" t="s">
        <v>44</v>
      </c>
      <c r="P93" s="28" t="s">
        <v>31</v>
      </c>
      <c r="Q93" s="31">
        <v>46104</v>
      </c>
      <c r="R93" s="97">
        <v>46081</v>
      </c>
      <c r="S93" s="33" t="s">
        <v>123</v>
      </c>
      <c r="T93" s="3"/>
      <c r="U93" s="269" t="str">
        <f t="shared" si="12"/>
        <v>Q4 2026</v>
      </c>
    </row>
    <row r="94" spans="1:21" ht="14.4" thickBot="1">
      <c r="A94" s="21"/>
      <c r="B94" s="22" t="s">
        <v>136</v>
      </c>
      <c r="C94" s="22" t="s">
        <v>23</v>
      </c>
      <c r="D94" s="240"/>
      <c r="E94" s="116"/>
      <c r="F94" s="297"/>
      <c r="G94" s="26">
        <v>75</v>
      </c>
      <c r="H94" s="27">
        <v>0</v>
      </c>
      <c r="I94" s="28" t="s">
        <v>47</v>
      </c>
      <c r="J94" s="29">
        <v>46081</v>
      </c>
      <c r="K94" s="39" t="s">
        <v>56</v>
      </c>
      <c r="L94" s="28" t="s">
        <v>122</v>
      </c>
      <c r="M94" s="28" t="s">
        <v>137</v>
      </c>
      <c r="N94" s="28" t="s">
        <v>138</v>
      </c>
      <c r="O94" s="28" t="s">
        <v>44</v>
      </c>
      <c r="P94" s="28" t="s">
        <v>31</v>
      </c>
      <c r="Q94" s="31">
        <v>46104</v>
      </c>
      <c r="R94" s="97">
        <v>46112</v>
      </c>
      <c r="S94" s="33" t="s">
        <v>123</v>
      </c>
      <c r="T94" s="3"/>
      <c r="U94" s="269" t="str">
        <f t="shared" si="12"/>
        <v>Q4 2026</v>
      </c>
    </row>
    <row r="95" spans="1:21" ht="14.4" thickBot="1">
      <c r="A95" s="21"/>
      <c r="B95" s="22" t="s">
        <v>136</v>
      </c>
      <c r="C95" s="22" t="s">
        <v>23</v>
      </c>
      <c r="D95" s="240"/>
      <c r="E95" s="116"/>
      <c r="F95" s="297"/>
      <c r="G95" s="299">
        <v>50</v>
      </c>
      <c r="H95" s="300">
        <v>0</v>
      </c>
      <c r="I95" s="301" t="s">
        <v>47</v>
      </c>
      <c r="J95" s="302">
        <v>46081</v>
      </c>
      <c r="K95" s="301" t="s">
        <v>56</v>
      </c>
      <c r="L95" s="301" t="s">
        <v>122</v>
      </c>
      <c r="M95" s="301" t="s">
        <v>137</v>
      </c>
      <c r="N95" s="301" t="s">
        <v>138</v>
      </c>
      <c r="O95" s="301" t="s">
        <v>44</v>
      </c>
      <c r="P95" s="301" t="s">
        <v>31</v>
      </c>
      <c r="Q95" s="303">
        <v>46104</v>
      </c>
      <c r="R95" s="304">
        <v>46173</v>
      </c>
      <c r="S95" s="33" t="s">
        <v>123</v>
      </c>
      <c r="T95" s="3"/>
      <c r="U95" s="269" t="str">
        <f t="shared" si="12"/>
        <v>Q1 2027</v>
      </c>
    </row>
    <row r="96" spans="1:21" ht="14.4" thickBot="1">
      <c r="A96" s="21"/>
      <c r="B96" s="22" t="s">
        <v>136</v>
      </c>
      <c r="C96" s="22" t="s">
        <v>23</v>
      </c>
      <c r="D96" s="240"/>
      <c r="E96" s="116"/>
      <c r="F96" s="36">
        <v>250</v>
      </c>
      <c r="G96" s="37">
        <v>100</v>
      </c>
      <c r="H96" s="38">
        <v>0</v>
      </c>
      <c r="I96" s="39" t="s">
        <v>47</v>
      </c>
      <c r="J96" s="40">
        <v>46081</v>
      </c>
      <c r="K96" s="39" t="s">
        <v>56</v>
      </c>
      <c r="L96" s="39" t="s">
        <v>122</v>
      </c>
      <c r="M96" s="39" t="s">
        <v>137</v>
      </c>
      <c r="N96" s="39" t="s">
        <v>138</v>
      </c>
      <c r="O96" s="39" t="s">
        <v>44</v>
      </c>
      <c r="P96" s="39" t="s">
        <v>31</v>
      </c>
      <c r="Q96" s="42">
        <v>46104</v>
      </c>
      <c r="R96" s="239">
        <v>46112</v>
      </c>
      <c r="S96" s="33" t="s">
        <v>123</v>
      </c>
      <c r="T96" s="3"/>
      <c r="U96" s="269" t="str">
        <f t="shared" si="12"/>
        <v>Q4 2026</v>
      </c>
    </row>
    <row r="97" spans="1:21" ht="14.4" thickBot="1">
      <c r="A97" s="21"/>
      <c r="B97" s="22" t="s">
        <v>136</v>
      </c>
      <c r="C97" s="22" t="s">
        <v>23</v>
      </c>
      <c r="D97" s="240"/>
      <c r="E97" s="116"/>
      <c r="F97" s="36"/>
      <c r="G97" s="37">
        <v>50</v>
      </c>
      <c r="H97" s="38">
        <v>0</v>
      </c>
      <c r="I97" s="39" t="s">
        <v>47</v>
      </c>
      <c r="J97" s="40">
        <v>46081</v>
      </c>
      <c r="K97" s="39" t="s">
        <v>56</v>
      </c>
      <c r="L97" s="39" t="s">
        <v>122</v>
      </c>
      <c r="M97" s="39" t="s">
        <v>137</v>
      </c>
      <c r="N97" s="39" t="s">
        <v>138</v>
      </c>
      <c r="O97" s="39" t="s">
        <v>44</v>
      </c>
      <c r="P97" s="39" t="s">
        <v>31</v>
      </c>
      <c r="Q97" s="42">
        <v>46104</v>
      </c>
      <c r="R97" s="239">
        <v>46112</v>
      </c>
      <c r="S97" s="44" t="s">
        <v>123</v>
      </c>
      <c r="T97" s="3"/>
      <c r="U97" s="269" t="str">
        <f t="shared" si="12"/>
        <v>Q4 2026</v>
      </c>
    </row>
    <row r="98" spans="1:21" ht="14.4" thickBot="1">
      <c r="A98" s="21"/>
      <c r="B98" s="22" t="s">
        <v>136</v>
      </c>
      <c r="C98" s="22" t="s">
        <v>23</v>
      </c>
      <c r="D98" s="240"/>
      <c r="E98" s="116"/>
      <c r="F98" s="36"/>
      <c r="G98" s="37">
        <v>100</v>
      </c>
      <c r="H98" s="38">
        <v>0</v>
      </c>
      <c r="I98" s="39" t="s">
        <v>47</v>
      </c>
      <c r="J98" s="40">
        <v>46081</v>
      </c>
      <c r="K98" s="39" t="s">
        <v>56</v>
      </c>
      <c r="L98" s="39" t="s">
        <v>122</v>
      </c>
      <c r="M98" s="39" t="s">
        <v>137</v>
      </c>
      <c r="N98" s="39" t="s">
        <v>138</v>
      </c>
      <c r="O98" s="39" t="s">
        <v>44</v>
      </c>
      <c r="P98" s="39" t="s">
        <v>31</v>
      </c>
      <c r="Q98" s="42">
        <v>46104</v>
      </c>
      <c r="R98" s="239">
        <v>46173</v>
      </c>
      <c r="S98" s="33" t="s">
        <v>123</v>
      </c>
      <c r="T98" s="3"/>
      <c r="U98" s="269" t="str">
        <f t="shared" si="12"/>
        <v>Q1 2027</v>
      </c>
    </row>
    <row r="99" spans="1:21" ht="14.4" thickBot="1">
      <c r="A99" s="21"/>
      <c r="B99" s="22" t="s">
        <v>136</v>
      </c>
      <c r="C99" s="22" t="s">
        <v>23</v>
      </c>
      <c r="D99" s="240"/>
      <c r="E99" s="116"/>
      <c r="F99" s="36">
        <v>150</v>
      </c>
      <c r="G99" s="26">
        <v>50</v>
      </c>
      <c r="H99" s="262">
        <v>0</v>
      </c>
      <c r="I99" s="263" t="s">
        <v>47</v>
      </c>
      <c r="J99" s="305">
        <v>46081</v>
      </c>
      <c r="K99" s="263" t="s">
        <v>82</v>
      </c>
      <c r="L99" s="263" t="s">
        <v>71</v>
      </c>
      <c r="M99" s="263" t="s">
        <v>139</v>
      </c>
      <c r="N99" s="263" t="s">
        <v>138</v>
      </c>
      <c r="O99" s="263" t="s">
        <v>80</v>
      </c>
      <c r="P99" s="263" t="s">
        <v>38</v>
      </c>
      <c r="Q99" s="265" t="s">
        <v>39</v>
      </c>
      <c r="R99" s="32">
        <v>45930</v>
      </c>
      <c r="S99" s="33" t="s">
        <v>75</v>
      </c>
      <c r="T99" s="3"/>
      <c r="U99" s="34" t="str">
        <f t="shared" si="12"/>
        <v>Q2 2026</v>
      </c>
    </row>
    <row r="100" spans="1:21" ht="14.4" thickBot="1">
      <c r="A100" s="21"/>
      <c r="B100" s="22" t="s">
        <v>136</v>
      </c>
      <c r="C100" s="22" t="s">
        <v>23</v>
      </c>
      <c r="D100" s="240"/>
      <c r="E100" s="116"/>
      <c r="F100" s="36"/>
      <c r="G100" s="37">
        <v>50</v>
      </c>
      <c r="H100" s="306">
        <v>0</v>
      </c>
      <c r="I100" s="307" t="s">
        <v>47</v>
      </c>
      <c r="J100" s="305">
        <v>46081</v>
      </c>
      <c r="K100" s="307" t="s">
        <v>82</v>
      </c>
      <c r="L100" s="307" t="s">
        <v>71</v>
      </c>
      <c r="M100" s="307" t="s">
        <v>139</v>
      </c>
      <c r="N100" s="307" t="s">
        <v>138</v>
      </c>
      <c r="O100" s="307" t="s">
        <v>80</v>
      </c>
      <c r="P100" s="307" t="s">
        <v>38</v>
      </c>
      <c r="Q100" s="308" t="s">
        <v>39</v>
      </c>
      <c r="R100" s="66">
        <v>46053</v>
      </c>
      <c r="S100" s="33" t="s">
        <v>75</v>
      </c>
      <c r="T100" s="3"/>
      <c r="U100" s="34" t="str">
        <f t="shared" si="12"/>
        <v>Q4 2026</v>
      </c>
    </row>
    <row r="101" spans="1:21" ht="14.4" thickBot="1">
      <c r="A101" s="21"/>
      <c r="B101" s="22" t="s">
        <v>136</v>
      </c>
      <c r="C101" s="22" t="s">
        <v>23</v>
      </c>
      <c r="D101" s="240"/>
      <c r="E101" s="116"/>
      <c r="F101" s="36"/>
      <c r="G101" s="37">
        <v>50</v>
      </c>
      <c r="H101" s="306">
        <v>0</v>
      </c>
      <c r="I101" s="307" t="s">
        <v>47</v>
      </c>
      <c r="J101" s="305">
        <v>46081</v>
      </c>
      <c r="K101" s="307" t="s">
        <v>82</v>
      </c>
      <c r="L101" s="307" t="s">
        <v>71</v>
      </c>
      <c r="M101" s="307" t="s">
        <v>139</v>
      </c>
      <c r="N101" s="307" t="s">
        <v>138</v>
      </c>
      <c r="O101" s="307" t="s">
        <v>80</v>
      </c>
      <c r="P101" s="307" t="s">
        <v>38</v>
      </c>
      <c r="Q101" s="308" t="s">
        <v>39</v>
      </c>
      <c r="R101" s="239">
        <v>46173</v>
      </c>
      <c r="S101" s="33" t="s">
        <v>75</v>
      </c>
      <c r="T101" s="309" t="s">
        <v>140</v>
      </c>
      <c r="U101" s="34" t="str">
        <f t="shared" si="12"/>
        <v>Q1 2027</v>
      </c>
    </row>
    <row r="102" spans="1:21" ht="14.4" thickBot="1">
      <c r="A102" s="21"/>
      <c r="B102" s="22" t="s">
        <v>136</v>
      </c>
      <c r="C102" s="22" t="s">
        <v>23</v>
      </c>
      <c r="D102" s="240"/>
      <c r="E102" s="116"/>
      <c r="F102" s="62">
        <v>50</v>
      </c>
      <c r="G102" s="62">
        <v>50</v>
      </c>
      <c r="H102" s="62">
        <v>0</v>
      </c>
      <c r="I102" s="63" t="s">
        <v>47</v>
      </c>
      <c r="J102" s="310">
        <v>46081</v>
      </c>
      <c r="K102" s="63" t="s">
        <v>108</v>
      </c>
      <c r="L102" s="204" t="s">
        <v>109</v>
      </c>
      <c r="M102" s="63" t="s">
        <v>141</v>
      </c>
      <c r="N102" s="63" t="s">
        <v>138</v>
      </c>
      <c r="O102" s="63" t="s">
        <v>80</v>
      </c>
      <c r="P102" s="63" t="s">
        <v>38</v>
      </c>
      <c r="Q102" s="311">
        <v>46141</v>
      </c>
      <c r="R102" s="312">
        <v>46295</v>
      </c>
      <c r="S102" s="44" t="s">
        <v>75</v>
      </c>
      <c r="T102" s="3" t="s">
        <v>142</v>
      </c>
      <c r="U102" s="34" t="str">
        <f t="shared" si="12"/>
        <v>Q2 2027</v>
      </c>
    </row>
    <row r="103" spans="1:21" ht="14.4" thickBot="1">
      <c r="A103" s="21"/>
      <c r="B103" s="22" t="s">
        <v>136</v>
      </c>
      <c r="C103" s="22" t="s">
        <v>23</v>
      </c>
      <c r="D103" s="240"/>
      <c r="E103" s="116"/>
      <c r="F103" s="270">
        <v>50</v>
      </c>
      <c r="G103" s="26">
        <v>12.5</v>
      </c>
      <c r="H103" s="262">
        <v>0</v>
      </c>
      <c r="I103" s="263" t="s">
        <v>47</v>
      </c>
      <c r="J103" s="305">
        <v>46081</v>
      </c>
      <c r="K103" s="263" t="s">
        <v>143</v>
      </c>
      <c r="L103" s="263" t="s">
        <v>144</v>
      </c>
      <c r="M103" s="263" t="s">
        <v>139</v>
      </c>
      <c r="N103" s="263" t="s">
        <v>138</v>
      </c>
      <c r="O103" s="263" t="s">
        <v>80</v>
      </c>
      <c r="P103" s="263" t="s">
        <v>38</v>
      </c>
      <c r="Q103" s="265" t="s">
        <v>39</v>
      </c>
      <c r="R103" s="32">
        <v>46112</v>
      </c>
      <c r="S103" s="33"/>
      <c r="T103" s="3"/>
      <c r="U103" s="34" t="str">
        <f t="shared" si="12"/>
        <v>Q4 2026</v>
      </c>
    </row>
    <row r="104" spans="1:21" ht="14.4" thickBot="1">
      <c r="A104" s="21"/>
      <c r="B104" s="22" t="s">
        <v>136</v>
      </c>
      <c r="C104" s="22" t="s">
        <v>23</v>
      </c>
      <c r="D104" s="240"/>
      <c r="E104" s="116"/>
      <c r="F104" s="270"/>
      <c r="G104" s="26">
        <v>12.5</v>
      </c>
      <c r="H104" s="262">
        <v>0</v>
      </c>
      <c r="I104" s="263" t="s">
        <v>47</v>
      </c>
      <c r="J104" s="305">
        <v>46081</v>
      </c>
      <c r="K104" s="263" t="s">
        <v>143</v>
      </c>
      <c r="L104" s="263" t="s">
        <v>145</v>
      </c>
      <c r="M104" s="263" t="s">
        <v>139</v>
      </c>
      <c r="N104" s="263" t="s">
        <v>138</v>
      </c>
      <c r="O104" s="263" t="s">
        <v>80</v>
      </c>
      <c r="P104" s="263" t="s">
        <v>38</v>
      </c>
      <c r="Q104" s="265" t="s">
        <v>39</v>
      </c>
      <c r="R104" s="32">
        <v>46112</v>
      </c>
      <c r="S104" s="33"/>
      <c r="T104" s="3"/>
      <c r="U104" s="34" t="str">
        <f t="shared" si="12"/>
        <v>Q4 2026</v>
      </c>
    </row>
    <row r="105" spans="1:21" ht="14.4" thickBot="1">
      <c r="A105" s="21"/>
      <c r="B105" s="22" t="s">
        <v>136</v>
      </c>
      <c r="C105" s="22" t="s">
        <v>23</v>
      </c>
      <c r="D105" s="240"/>
      <c r="E105" s="116"/>
      <c r="F105" s="270"/>
      <c r="G105" s="26">
        <v>25</v>
      </c>
      <c r="H105" s="262">
        <v>0</v>
      </c>
      <c r="I105" s="263" t="s">
        <v>47</v>
      </c>
      <c r="J105" s="305">
        <v>46081</v>
      </c>
      <c r="K105" s="263" t="s">
        <v>146</v>
      </c>
      <c r="L105" s="263" t="s">
        <v>125</v>
      </c>
      <c r="M105" s="263" t="s">
        <v>139</v>
      </c>
      <c r="N105" s="263" t="s">
        <v>138</v>
      </c>
      <c r="O105" s="263" t="s">
        <v>80</v>
      </c>
      <c r="P105" s="263" t="s">
        <v>38</v>
      </c>
      <c r="Q105" s="265" t="s">
        <v>39</v>
      </c>
      <c r="R105" s="32">
        <v>46112</v>
      </c>
      <c r="S105" s="44" t="s">
        <v>147</v>
      </c>
      <c r="T105" s="3"/>
      <c r="U105" s="34" t="str">
        <f t="shared" si="12"/>
        <v>Q4 2026</v>
      </c>
    </row>
    <row r="106" spans="1:21" ht="14.4" thickBot="1">
      <c r="A106" s="21"/>
      <c r="B106" s="22" t="s">
        <v>136</v>
      </c>
      <c r="C106" s="22" t="s">
        <v>23</v>
      </c>
      <c r="D106" s="240"/>
      <c r="E106" s="116"/>
      <c r="F106" s="46">
        <v>60</v>
      </c>
      <c r="G106" s="26">
        <v>0</v>
      </c>
      <c r="H106" s="262">
        <f>12*5.2</f>
        <v>62.400000000000006</v>
      </c>
      <c r="I106" s="263" t="s">
        <v>47</v>
      </c>
      <c r="J106" s="305">
        <v>46081</v>
      </c>
      <c r="K106" s="263" t="s">
        <v>148</v>
      </c>
      <c r="L106" s="263" t="s">
        <v>125</v>
      </c>
      <c r="M106" s="263" t="s">
        <v>149</v>
      </c>
      <c r="N106" s="263" t="s">
        <v>138</v>
      </c>
      <c r="O106" s="263"/>
      <c r="P106" s="263" t="s">
        <v>39</v>
      </c>
      <c r="Q106" s="265" t="s">
        <v>39</v>
      </c>
      <c r="R106" s="32">
        <v>46112</v>
      </c>
      <c r="S106" s="33" t="s">
        <v>150</v>
      </c>
      <c r="T106" s="3"/>
      <c r="U106" s="34" t="str">
        <f t="shared" si="12"/>
        <v>Q4 2026</v>
      </c>
    </row>
    <row r="107" spans="1:21" ht="14.4" thickBot="1">
      <c r="A107" s="21"/>
      <c r="B107" s="22" t="s">
        <v>136</v>
      </c>
      <c r="C107" s="22" t="s">
        <v>23</v>
      </c>
      <c r="D107" s="240"/>
      <c r="E107" s="116"/>
      <c r="F107" s="46"/>
      <c r="G107" s="27">
        <v>25</v>
      </c>
      <c r="H107" s="262">
        <v>0</v>
      </c>
      <c r="I107" s="263" t="s">
        <v>47</v>
      </c>
      <c r="J107" s="305">
        <v>46081</v>
      </c>
      <c r="K107" s="263" t="s">
        <v>124</v>
      </c>
      <c r="L107" s="263" t="s">
        <v>125</v>
      </c>
      <c r="M107" s="263" t="s">
        <v>151</v>
      </c>
      <c r="N107" s="263" t="s">
        <v>138</v>
      </c>
      <c r="O107" s="263" t="s">
        <v>80</v>
      </c>
      <c r="P107" s="263" t="s">
        <v>38</v>
      </c>
      <c r="Q107" s="265" t="s">
        <v>39</v>
      </c>
      <c r="R107" s="32">
        <v>45930</v>
      </c>
      <c r="S107" s="44" t="s">
        <v>150</v>
      </c>
      <c r="T107" s="3"/>
      <c r="U107" s="34" t="str">
        <f t="shared" si="12"/>
        <v>Q2 2026</v>
      </c>
    </row>
    <row r="108" spans="1:21" ht="14.4" thickBot="1">
      <c r="A108" s="21"/>
      <c r="B108" s="22" t="s">
        <v>136</v>
      </c>
      <c r="C108" s="22" t="s">
        <v>23</v>
      </c>
      <c r="D108" s="240"/>
      <c r="E108" s="116"/>
      <c r="F108" s="46"/>
      <c r="G108" s="27">
        <v>10</v>
      </c>
      <c r="H108" s="262">
        <v>0</v>
      </c>
      <c r="I108" s="263" t="s">
        <v>47</v>
      </c>
      <c r="J108" s="305">
        <v>46081</v>
      </c>
      <c r="K108" s="28" t="s">
        <v>98</v>
      </c>
      <c r="L108" s="263" t="s">
        <v>125</v>
      </c>
      <c r="M108" s="263" t="s">
        <v>151</v>
      </c>
      <c r="N108" s="263" t="s">
        <v>138</v>
      </c>
      <c r="O108" s="263" t="s">
        <v>80</v>
      </c>
      <c r="P108" s="263" t="s">
        <v>38</v>
      </c>
      <c r="Q108" s="265" t="s">
        <v>39</v>
      </c>
      <c r="R108" s="32">
        <v>45930</v>
      </c>
      <c r="S108" s="44" t="s">
        <v>150</v>
      </c>
      <c r="T108" s="3"/>
      <c r="U108" s="34" t="str">
        <f t="shared" si="12"/>
        <v>Q2 2026</v>
      </c>
    </row>
    <row r="109" spans="1:21" ht="16.350000000000001" customHeight="1" thickBot="1">
      <c r="A109" s="21"/>
      <c r="B109" s="22" t="s">
        <v>136</v>
      </c>
      <c r="C109" s="22" t="s">
        <v>23</v>
      </c>
      <c r="D109" s="240"/>
      <c r="E109" s="116"/>
      <c r="F109" s="46">
        <v>50</v>
      </c>
      <c r="G109" s="27">
        <v>0</v>
      </c>
      <c r="H109" s="262">
        <f>3*5.2</f>
        <v>15.600000000000001</v>
      </c>
      <c r="I109" s="263" t="s">
        <v>47</v>
      </c>
      <c r="J109" s="305">
        <v>46081</v>
      </c>
      <c r="K109" s="263" t="s">
        <v>152</v>
      </c>
      <c r="L109" s="263" t="s">
        <v>153</v>
      </c>
      <c r="M109" s="263" t="s">
        <v>154</v>
      </c>
      <c r="N109" s="263" t="s">
        <v>138</v>
      </c>
      <c r="O109" s="263"/>
      <c r="P109" s="263" t="s">
        <v>39</v>
      </c>
      <c r="Q109" s="31">
        <v>45838</v>
      </c>
      <c r="R109" s="32">
        <v>45900</v>
      </c>
      <c r="S109" s="33" t="s">
        <v>150</v>
      </c>
      <c r="T109" s="3"/>
      <c r="U109" s="34" t="str">
        <f t="shared" si="12"/>
        <v>Q2 2026</v>
      </c>
    </row>
    <row r="110" spans="1:21" ht="16.350000000000001" customHeight="1" thickBot="1">
      <c r="A110" s="21"/>
      <c r="B110" s="22" t="s">
        <v>136</v>
      </c>
      <c r="C110" s="22" t="s">
        <v>23</v>
      </c>
      <c r="D110" s="240"/>
      <c r="E110" s="116"/>
      <c r="F110" s="46"/>
      <c r="G110" s="27">
        <v>0</v>
      </c>
      <c r="H110" s="262">
        <f>5*5.2</f>
        <v>26</v>
      </c>
      <c r="I110" s="263" t="s">
        <v>47</v>
      </c>
      <c r="J110" s="305">
        <v>46081</v>
      </c>
      <c r="K110" s="263" t="s">
        <v>152</v>
      </c>
      <c r="L110" s="263" t="s">
        <v>153</v>
      </c>
      <c r="M110" s="263" t="s">
        <v>154</v>
      </c>
      <c r="N110" s="263" t="s">
        <v>138</v>
      </c>
      <c r="O110" s="263"/>
      <c r="P110" s="263" t="s">
        <v>39</v>
      </c>
      <c r="Q110" s="31">
        <v>45838</v>
      </c>
      <c r="R110" s="32">
        <v>45900</v>
      </c>
      <c r="S110" s="33" t="s">
        <v>150</v>
      </c>
      <c r="T110" s="3"/>
      <c r="U110" s="34" t="str">
        <f t="shared" si="12"/>
        <v>Q2 2026</v>
      </c>
    </row>
    <row r="111" spans="1:21" ht="16.350000000000001" customHeight="1" thickBot="1">
      <c r="A111" s="21"/>
      <c r="B111" s="22" t="s">
        <v>136</v>
      </c>
      <c r="C111" s="22" t="s">
        <v>23</v>
      </c>
      <c r="D111" s="240"/>
      <c r="E111" s="116"/>
      <c r="F111" s="46"/>
      <c r="G111" s="27">
        <v>25</v>
      </c>
      <c r="H111" s="262">
        <v>0</v>
      </c>
      <c r="I111" s="263" t="s">
        <v>47</v>
      </c>
      <c r="J111" s="305">
        <v>46081</v>
      </c>
      <c r="K111" s="263" t="s">
        <v>155</v>
      </c>
      <c r="L111" s="263" t="s">
        <v>153</v>
      </c>
      <c r="M111" s="263" t="s">
        <v>151</v>
      </c>
      <c r="N111" s="263" t="s">
        <v>138</v>
      </c>
      <c r="O111" s="263" t="s">
        <v>80</v>
      </c>
      <c r="P111" s="263" t="s">
        <v>38</v>
      </c>
      <c r="Q111" s="31">
        <v>45838</v>
      </c>
      <c r="R111" s="32">
        <v>45868</v>
      </c>
      <c r="S111" s="33" t="s">
        <v>150</v>
      </c>
      <c r="T111" s="3"/>
      <c r="U111" s="34" t="str">
        <f t="shared" si="12"/>
        <v>Q2 2026</v>
      </c>
    </row>
    <row r="112" spans="1:21" ht="14.4" thickBot="1">
      <c r="A112" s="21"/>
      <c r="B112" s="22" t="s">
        <v>136</v>
      </c>
      <c r="C112" s="22" t="s">
        <v>23</v>
      </c>
      <c r="D112" s="240"/>
      <c r="E112" s="116"/>
      <c r="F112" s="270">
        <v>65</v>
      </c>
      <c r="G112" s="26">
        <v>0</v>
      </c>
      <c r="H112" s="27">
        <f>6*5.2</f>
        <v>31.200000000000003</v>
      </c>
      <c r="I112" s="28" t="s">
        <v>47</v>
      </c>
      <c r="J112" s="313">
        <v>46081</v>
      </c>
      <c r="K112" s="28" t="s">
        <v>114</v>
      </c>
      <c r="L112" s="28" t="s">
        <v>71</v>
      </c>
      <c r="M112" s="28" t="s">
        <v>156</v>
      </c>
      <c r="N112" s="28" t="s">
        <v>138</v>
      </c>
      <c r="O112" s="28"/>
      <c r="P112" s="28" t="s">
        <v>39</v>
      </c>
      <c r="Q112" s="31" t="s">
        <v>39</v>
      </c>
      <c r="R112" s="32">
        <v>45930</v>
      </c>
      <c r="S112" s="33" t="s">
        <v>75</v>
      </c>
      <c r="T112" s="3"/>
      <c r="U112" s="34" t="str">
        <f t="shared" si="12"/>
        <v>Q2 2026</v>
      </c>
    </row>
    <row r="113" spans="1:21" ht="14.4" thickBot="1">
      <c r="A113" s="21"/>
      <c r="B113" s="22" t="s">
        <v>136</v>
      </c>
      <c r="C113" s="22" t="s">
        <v>23</v>
      </c>
      <c r="D113" s="240"/>
      <c r="E113" s="116"/>
      <c r="F113" s="270"/>
      <c r="G113" s="26">
        <v>0</v>
      </c>
      <c r="H113" s="27">
        <f>6*5.2</f>
        <v>31.200000000000003</v>
      </c>
      <c r="I113" s="28" t="s">
        <v>47</v>
      </c>
      <c r="J113" s="313">
        <v>46081</v>
      </c>
      <c r="K113" s="28" t="s">
        <v>114</v>
      </c>
      <c r="L113" s="28" t="s">
        <v>71</v>
      </c>
      <c r="M113" s="28" t="s">
        <v>156</v>
      </c>
      <c r="N113" s="28" t="s">
        <v>138</v>
      </c>
      <c r="O113" s="28"/>
      <c r="P113" s="28" t="s">
        <v>39</v>
      </c>
      <c r="Q113" s="31" t="s">
        <v>39</v>
      </c>
      <c r="R113" s="32">
        <v>45991</v>
      </c>
      <c r="S113" s="33" t="s">
        <v>75</v>
      </c>
      <c r="T113" s="3"/>
      <c r="U113" s="34" t="str">
        <f t="shared" si="12"/>
        <v>Q3 2026</v>
      </c>
    </row>
    <row r="114" spans="1:21" ht="14.4" thickBot="1">
      <c r="A114" s="21"/>
      <c r="B114" s="22" t="s">
        <v>136</v>
      </c>
      <c r="C114" s="22" t="s">
        <v>23</v>
      </c>
      <c r="D114" s="240"/>
      <c r="E114" s="116"/>
      <c r="F114" s="270"/>
      <c r="G114" s="261">
        <v>0</v>
      </c>
      <c r="H114" s="262">
        <f>1*5.2</f>
        <v>5.2</v>
      </c>
      <c r="I114" s="263" t="s">
        <v>47</v>
      </c>
      <c r="J114" s="314">
        <v>46081</v>
      </c>
      <c r="K114" s="263" t="s">
        <v>114</v>
      </c>
      <c r="L114" s="263" t="s">
        <v>71</v>
      </c>
      <c r="M114" s="263" t="s">
        <v>156</v>
      </c>
      <c r="N114" s="263" t="s">
        <v>138</v>
      </c>
      <c r="O114" s="263"/>
      <c r="P114" s="263" t="s">
        <v>39</v>
      </c>
      <c r="Q114" s="265" t="s">
        <v>39</v>
      </c>
      <c r="R114" s="315">
        <v>46081</v>
      </c>
      <c r="S114" s="33" t="s">
        <v>75</v>
      </c>
      <c r="T114" s="3"/>
      <c r="U114" s="34" t="str">
        <f t="shared" si="12"/>
        <v>Q4 2026</v>
      </c>
    </row>
    <row r="115" spans="1:21" ht="14.4" thickBot="1">
      <c r="A115" s="21"/>
      <c r="B115" s="22" t="s">
        <v>136</v>
      </c>
      <c r="C115" s="22" t="s">
        <v>23</v>
      </c>
      <c r="D115" s="240"/>
      <c r="E115" s="116"/>
      <c r="F115" s="270">
        <v>125</v>
      </c>
      <c r="G115" s="316">
        <v>0</v>
      </c>
      <c r="H115" s="26">
        <f>5.2*10</f>
        <v>52</v>
      </c>
      <c r="I115" s="28" t="s">
        <v>47</v>
      </c>
      <c r="J115" s="317">
        <v>46081</v>
      </c>
      <c r="K115" s="28" t="s">
        <v>114</v>
      </c>
      <c r="L115" s="28" t="s">
        <v>95</v>
      </c>
      <c r="M115" s="28" t="s">
        <v>156</v>
      </c>
      <c r="N115" s="28" t="s">
        <v>138</v>
      </c>
      <c r="O115" s="28"/>
      <c r="P115" s="28" t="s">
        <v>39</v>
      </c>
      <c r="Q115" s="31" t="s">
        <v>39</v>
      </c>
      <c r="R115" s="318">
        <v>45930</v>
      </c>
      <c r="S115" s="33" t="s">
        <v>129</v>
      </c>
      <c r="T115" s="3"/>
      <c r="U115" s="34" t="str">
        <f t="shared" si="12"/>
        <v>Q2 2026</v>
      </c>
    </row>
    <row r="116" spans="1:21" ht="14.4" thickBot="1">
      <c r="A116" s="21"/>
      <c r="B116" s="22" t="s">
        <v>136</v>
      </c>
      <c r="C116" s="22" t="s">
        <v>23</v>
      </c>
      <c r="D116" s="240"/>
      <c r="E116" s="116"/>
      <c r="F116" s="270"/>
      <c r="G116" s="316">
        <v>0</v>
      </c>
      <c r="H116" s="26">
        <f>5.2*5</f>
        <v>26</v>
      </c>
      <c r="I116" s="28" t="s">
        <v>47</v>
      </c>
      <c r="J116" s="317">
        <v>46081</v>
      </c>
      <c r="K116" s="28" t="s">
        <v>114</v>
      </c>
      <c r="L116" s="28" t="s">
        <v>95</v>
      </c>
      <c r="M116" s="28" t="s">
        <v>156</v>
      </c>
      <c r="N116" s="28" t="s">
        <v>138</v>
      </c>
      <c r="O116" s="28"/>
      <c r="P116" s="28" t="s">
        <v>39</v>
      </c>
      <c r="Q116" s="31" t="s">
        <v>39</v>
      </c>
      <c r="R116" s="318">
        <v>45930</v>
      </c>
      <c r="S116" s="33" t="s">
        <v>129</v>
      </c>
      <c r="T116" s="3"/>
      <c r="U116" s="34" t="str">
        <f t="shared" si="12"/>
        <v>Q2 2026</v>
      </c>
    </row>
    <row r="117" spans="1:21" ht="14.4" thickBot="1">
      <c r="A117" s="21"/>
      <c r="B117" s="22" t="s">
        <v>136</v>
      </c>
      <c r="C117" s="22" t="s">
        <v>23</v>
      </c>
      <c r="D117" s="240"/>
      <c r="E117" s="116"/>
      <c r="F117" s="270"/>
      <c r="G117" s="316">
        <v>0</v>
      </c>
      <c r="H117" s="26">
        <f>5.2*9</f>
        <v>46.800000000000004</v>
      </c>
      <c r="I117" s="28" t="s">
        <v>47</v>
      </c>
      <c r="J117" s="317">
        <v>46081</v>
      </c>
      <c r="K117" s="28" t="s">
        <v>114</v>
      </c>
      <c r="L117" s="28" t="s">
        <v>95</v>
      </c>
      <c r="M117" s="28" t="s">
        <v>156</v>
      </c>
      <c r="N117" s="28" t="s">
        <v>138</v>
      </c>
      <c r="O117" s="28"/>
      <c r="P117" s="28" t="s">
        <v>39</v>
      </c>
      <c r="Q117" s="31" t="s">
        <v>39</v>
      </c>
      <c r="R117" s="318">
        <v>45930</v>
      </c>
      <c r="S117" s="33" t="s">
        <v>129</v>
      </c>
      <c r="T117" s="3"/>
      <c r="U117" s="34" t="str">
        <f t="shared" si="12"/>
        <v>Q2 2026</v>
      </c>
    </row>
    <row r="118" spans="1:21" ht="14.4" thickBot="1">
      <c r="A118" s="21"/>
      <c r="B118" s="67" t="s">
        <v>136</v>
      </c>
      <c r="C118" s="68" t="s">
        <v>23</v>
      </c>
      <c r="D118" s="240"/>
      <c r="E118" s="116"/>
      <c r="F118" s="319"/>
      <c r="G118" s="320">
        <v>0</v>
      </c>
      <c r="H118" s="87">
        <f>1*5.2</f>
        <v>5.2</v>
      </c>
      <c r="I118" s="89" t="s">
        <v>47</v>
      </c>
      <c r="J118" s="321">
        <v>46081</v>
      </c>
      <c r="K118" s="89" t="s">
        <v>114</v>
      </c>
      <c r="L118" s="89" t="s">
        <v>95</v>
      </c>
      <c r="M118" s="89" t="s">
        <v>156</v>
      </c>
      <c r="N118" s="89" t="s">
        <v>138</v>
      </c>
      <c r="O118" s="89"/>
      <c r="P118" s="89" t="s">
        <v>39</v>
      </c>
      <c r="Q118" s="91" t="s">
        <v>39</v>
      </c>
      <c r="R118" s="322">
        <v>45991</v>
      </c>
      <c r="S118" s="33" t="s">
        <v>129</v>
      </c>
      <c r="T118" s="3"/>
      <c r="U118" s="34" t="str">
        <f t="shared" si="12"/>
        <v>Q3 2026</v>
      </c>
    </row>
    <row r="119" spans="1:21" ht="15" thickTop="1" thickBot="1">
      <c r="A119" s="21"/>
      <c r="B119" s="23"/>
      <c r="C119" s="23"/>
      <c r="D119" s="240"/>
      <c r="E119" s="116"/>
      <c r="F119" s="323"/>
      <c r="G119" s="323"/>
      <c r="H119" s="323"/>
      <c r="I119" s="324"/>
      <c r="J119" s="324"/>
      <c r="K119" s="324"/>
      <c r="L119" s="324"/>
      <c r="M119" s="324"/>
      <c r="N119" s="324"/>
      <c r="O119" s="324"/>
      <c r="P119" s="324"/>
      <c r="Q119" s="324"/>
      <c r="R119" s="325"/>
      <c r="S119" s="2"/>
      <c r="T119" s="3"/>
      <c r="U119" s="3"/>
    </row>
    <row r="120" spans="1:21" ht="14.4" thickBot="1">
      <c r="A120" s="112">
        <f>A92+1</f>
        <v>13</v>
      </c>
      <c r="B120" s="326" t="s">
        <v>22</v>
      </c>
      <c r="C120" s="113" t="s">
        <v>23</v>
      </c>
      <c r="D120" s="327"/>
      <c r="E120" s="116">
        <v>1050</v>
      </c>
      <c r="F120" s="328">
        <v>400</v>
      </c>
      <c r="G120" s="329">
        <v>300</v>
      </c>
      <c r="H120" s="330" t="s">
        <v>39</v>
      </c>
      <c r="I120" s="331" t="s">
        <v>55</v>
      </c>
      <c r="J120" s="332">
        <v>46418</v>
      </c>
      <c r="K120" s="331" t="s">
        <v>108</v>
      </c>
      <c r="L120" s="331" t="s">
        <v>109</v>
      </c>
      <c r="M120" s="331" t="s">
        <v>157</v>
      </c>
      <c r="N120" s="331" t="s">
        <v>158</v>
      </c>
      <c r="O120" s="331" t="s">
        <v>80</v>
      </c>
      <c r="P120" s="331" t="s">
        <v>38</v>
      </c>
      <c r="Q120" s="333">
        <v>46141</v>
      </c>
      <c r="R120" s="334">
        <v>46477</v>
      </c>
      <c r="S120" s="44" t="s">
        <v>75</v>
      </c>
      <c r="T120" s="3" t="s">
        <v>142</v>
      </c>
      <c r="U120" s="34" t="str">
        <f t="shared" ref="U120:U123" si="13">IF(ROUNDUP(MONTH(R120)/3,0)-1=0,_xlfn.CONCAT("Q",4," ",YEAR(R120)),_xlfn.CONCAT("Q",ROUNDUP(MONTH(R120)/3,0)-1," ",YEAR(R120)+1))</f>
        <v>Q4 2027</v>
      </c>
    </row>
    <row r="121" spans="1:21" ht="14.4" thickBot="1">
      <c r="A121" s="112"/>
      <c r="B121" s="282" t="s">
        <v>22</v>
      </c>
      <c r="C121" s="22" t="s">
        <v>23</v>
      </c>
      <c r="D121" s="335"/>
      <c r="E121" s="116"/>
      <c r="F121" s="328"/>
      <c r="G121" s="61">
        <v>100</v>
      </c>
      <c r="H121" s="62" t="s">
        <v>39</v>
      </c>
      <c r="I121" s="63" t="s">
        <v>55</v>
      </c>
      <c r="J121" s="64">
        <v>46418</v>
      </c>
      <c r="K121" s="63" t="s">
        <v>108</v>
      </c>
      <c r="L121" s="63" t="s">
        <v>109</v>
      </c>
      <c r="M121" s="63" t="s">
        <v>157</v>
      </c>
      <c r="N121" s="63" t="s">
        <v>158</v>
      </c>
      <c r="O121" s="63" t="s">
        <v>80</v>
      </c>
      <c r="P121" s="63" t="s">
        <v>38</v>
      </c>
      <c r="Q121" s="65">
        <v>46141</v>
      </c>
      <c r="R121" s="66">
        <v>46418</v>
      </c>
      <c r="S121" s="44" t="s">
        <v>75</v>
      </c>
      <c r="T121" s="3" t="s">
        <v>142</v>
      </c>
      <c r="U121" s="34" t="str">
        <f t="shared" si="13"/>
        <v>Q4 2027</v>
      </c>
    </row>
    <row r="122" spans="1:21" ht="14.4" thickBot="1">
      <c r="A122" s="112"/>
      <c r="B122" s="282" t="s">
        <v>22</v>
      </c>
      <c r="C122" s="22" t="s">
        <v>23</v>
      </c>
      <c r="D122" s="336" t="s">
        <v>24</v>
      </c>
      <c r="E122" s="116"/>
      <c r="F122" s="337">
        <v>600</v>
      </c>
      <c r="G122" s="61">
        <v>600</v>
      </c>
      <c r="H122" s="62" t="s">
        <v>39</v>
      </c>
      <c r="I122" s="63" t="s">
        <v>55</v>
      </c>
      <c r="J122" s="64">
        <v>46418</v>
      </c>
      <c r="K122" s="63" t="s">
        <v>159</v>
      </c>
      <c r="L122" s="63" t="s">
        <v>109</v>
      </c>
      <c r="M122" s="63" t="s">
        <v>160</v>
      </c>
      <c r="N122" s="63" t="s">
        <v>158</v>
      </c>
      <c r="O122" s="63" t="s">
        <v>80</v>
      </c>
      <c r="P122" s="63" t="s">
        <v>38</v>
      </c>
      <c r="Q122" s="65">
        <v>46324</v>
      </c>
      <c r="R122" s="66">
        <v>46477</v>
      </c>
      <c r="S122" s="44" t="s">
        <v>75</v>
      </c>
      <c r="T122" s="3" t="s">
        <v>142</v>
      </c>
      <c r="U122" s="34" t="str">
        <f t="shared" si="13"/>
        <v>Q4 2027</v>
      </c>
    </row>
    <row r="123" spans="1:21" ht="14.4" thickBot="1">
      <c r="A123" s="112"/>
      <c r="B123" s="271" t="s">
        <v>22</v>
      </c>
      <c r="C123" s="67" t="s">
        <v>23</v>
      </c>
      <c r="D123" s="336"/>
      <c r="E123" s="116"/>
      <c r="F123" s="742">
        <v>50</v>
      </c>
      <c r="G123" s="211">
        <v>50</v>
      </c>
      <c r="H123" s="211">
        <v>0</v>
      </c>
      <c r="I123" s="213" t="s">
        <v>55</v>
      </c>
      <c r="J123" s="214">
        <v>46418</v>
      </c>
      <c r="K123" s="213" t="s">
        <v>161</v>
      </c>
      <c r="L123" s="213" t="s">
        <v>109</v>
      </c>
      <c r="M123" s="213" t="s">
        <v>162</v>
      </c>
      <c r="N123" s="213" t="s">
        <v>158</v>
      </c>
      <c r="O123" s="213" t="s">
        <v>80</v>
      </c>
      <c r="P123" s="213" t="s">
        <v>38</v>
      </c>
      <c r="Q123" s="215">
        <v>46506</v>
      </c>
      <c r="R123" s="216">
        <v>46477</v>
      </c>
      <c r="S123" s="59" t="s">
        <v>163</v>
      </c>
      <c r="T123" s="338" t="s">
        <v>164</v>
      </c>
      <c r="U123" s="34" t="str">
        <f t="shared" si="13"/>
        <v>Q4 2027</v>
      </c>
    </row>
    <row r="124" spans="1:21" ht="15" thickTop="1" thickBot="1">
      <c r="A124" s="339"/>
      <c r="B124" s="273"/>
      <c r="C124" s="218"/>
      <c r="D124" s="340"/>
      <c r="E124" s="221"/>
      <c r="F124" s="341"/>
      <c r="G124" s="222"/>
      <c r="H124" s="342"/>
      <c r="I124" s="226"/>
      <c r="J124" s="343"/>
      <c r="K124" s="226"/>
      <c r="L124" s="226"/>
      <c r="M124" s="226"/>
      <c r="N124" s="226"/>
      <c r="O124" s="226"/>
      <c r="P124" s="226"/>
      <c r="Q124" s="227"/>
      <c r="R124" s="228"/>
      <c r="S124" s="2"/>
      <c r="T124" s="3"/>
      <c r="U124" s="3"/>
    </row>
    <row r="125" spans="1:21">
      <c r="A125" s="344">
        <f>A120+1</f>
        <v>14</v>
      </c>
      <c r="B125" s="345" t="s">
        <v>136</v>
      </c>
      <c r="C125" s="346" t="s">
        <v>23</v>
      </c>
      <c r="D125" s="24" t="s">
        <v>24</v>
      </c>
      <c r="E125" s="25">
        <v>1250</v>
      </c>
      <c r="F125" s="347">
        <v>250</v>
      </c>
      <c r="G125" s="256">
        <v>250</v>
      </c>
      <c r="H125" s="257">
        <v>0</v>
      </c>
      <c r="I125" s="30" t="s">
        <v>84</v>
      </c>
      <c r="J125" s="258">
        <v>47483</v>
      </c>
      <c r="K125" s="30" t="s">
        <v>62</v>
      </c>
      <c r="L125" s="30" t="s">
        <v>127</v>
      </c>
      <c r="M125" s="30" t="s">
        <v>165</v>
      </c>
      <c r="N125" s="30" t="s">
        <v>166</v>
      </c>
      <c r="O125" s="30" t="s">
        <v>44</v>
      </c>
      <c r="P125" s="30" t="s">
        <v>38</v>
      </c>
      <c r="Q125" s="259" t="s">
        <v>89</v>
      </c>
      <c r="R125" s="97">
        <v>45744</v>
      </c>
      <c r="S125" s="33" t="s">
        <v>128</v>
      </c>
      <c r="T125" s="3"/>
      <c r="U125" s="34" t="str">
        <f t="shared" ref="U125:U135" si="14">IF(ROUNDUP(MONTH(R125)/3,0)-1=0,_xlfn.CONCAT("Q",4," ",YEAR(R125)),_xlfn.CONCAT("Q",ROUNDUP(MONTH(R125)/3,0)-1," ",YEAR(R125)+1))</f>
        <v>Q4 2025</v>
      </c>
    </row>
    <row r="126" spans="1:21">
      <c r="A126" s="344"/>
      <c r="B126" s="345" t="s">
        <v>136</v>
      </c>
      <c r="C126" s="346" t="s">
        <v>23</v>
      </c>
      <c r="D126" s="24"/>
      <c r="E126" s="25"/>
      <c r="F126" s="270">
        <v>150</v>
      </c>
      <c r="G126" s="256">
        <v>12.5</v>
      </c>
      <c r="H126" s="257">
        <v>0</v>
      </c>
      <c r="I126" s="28" t="s">
        <v>84</v>
      </c>
      <c r="J126" s="29">
        <v>47483</v>
      </c>
      <c r="K126" s="28" t="s">
        <v>62</v>
      </c>
      <c r="L126" s="28" t="s">
        <v>127</v>
      </c>
      <c r="M126" s="28" t="s">
        <v>165</v>
      </c>
      <c r="N126" s="28" t="s">
        <v>166</v>
      </c>
      <c r="O126" s="30" t="s">
        <v>44</v>
      </c>
      <c r="P126" s="28" t="s">
        <v>38</v>
      </c>
      <c r="Q126" s="31" t="s">
        <v>89</v>
      </c>
      <c r="R126" s="32">
        <v>45745</v>
      </c>
      <c r="S126" s="33" t="s">
        <v>128</v>
      </c>
      <c r="T126" s="3"/>
      <c r="U126" s="34" t="str">
        <f t="shared" si="14"/>
        <v>Q4 2025</v>
      </c>
    </row>
    <row r="127" spans="1:21">
      <c r="A127" s="344"/>
      <c r="B127" s="345" t="s">
        <v>136</v>
      </c>
      <c r="C127" s="346" t="s">
        <v>23</v>
      </c>
      <c r="D127" s="24"/>
      <c r="E127" s="25"/>
      <c r="F127" s="270"/>
      <c r="G127" s="26">
        <v>137.5</v>
      </c>
      <c r="H127" s="26">
        <v>0</v>
      </c>
      <c r="I127" s="28" t="s">
        <v>84</v>
      </c>
      <c r="J127" s="29">
        <v>47483</v>
      </c>
      <c r="K127" s="28" t="s">
        <v>62</v>
      </c>
      <c r="L127" s="28" t="s">
        <v>127</v>
      </c>
      <c r="M127" s="28" t="s">
        <v>165</v>
      </c>
      <c r="N127" s="28" t="s">
        <v>166</v>
      </c>
      <c r="O127" s="30" t="s">
        <v>44</v>
      </c>
      <c r="P127" s="28" t="s">
        <v>38</v>
      </c>
      <c r="Q127" s="31" t="s">
        <v>89</v>
      </c>
      <c r="R127" s="32">
        <v>45798</v>
      </c>
      <c r="S127" s="33" t="s">
        <v>128</v>
      </c>
      <c r="T127" s="3"/>
      <c r="U127" s="34" t="str">
        <f t="shared" si="14"/>
        <v>Q1 2026</v>
      </c>
    </row>
    <row r="128" spans="1:21">
      <c r="A128" s="344"/>
      <c r="B128" s="345" t="s">
        <v>136</v>
      </c>
      <c r="C128" s="346" t="s">
        <v>23</v>
      </c>
      <c r="D128" s="24"/>
      <c r="E128" s="25"/>
      <c r="F128" s="270">
        <v>100</v>
      </c>
      <c r="G128" s="256">
        <v>50</v>
      </c>
      <c r="H128" s="257">
        <v>0</v>
      </c>
      <c r="I128" s="28" t="s">
        <v>84</v>
      </c>
      <c r="J128" s="29">
        <v>47483</v>
      </c>
      <c r="K128" s="28" t="s">
        <v>62</v>
      </c>
      <c r="L128" s="28" t="s">
        <v>127</v>
      </c>
      <c r="M128" s="28" t="s">
        <v>165</v>
      </c>
      <c r="N128" s="28" t="s">
        <v>166</v>
      </c>
      <c r="O128" s="30" t="s">
        <v>44</v>
      </c>
      <c r="P128" s="28" t="s">
        <v>38</v>
      </c>
      <c r="Q128" s="31" t="s">
        <v>89</v>
      </c>
      <c r="R128" s="32">
        <v>45747</v>
      </c>
      <c r="S128" s="33" t="s">
        <v>128</v>
      </c>
      <c r="T128" s="3"/>
      <c r="U128" s="34" t="str">
        <f t="shared" si="14"/>
        <v>Q4 2025</v>
      </c>
    </row>
    <row r="129" spans="1:21">
      <c r="A129" s="344"/>
      <c r="B129" s="345" t="s">
        <v>136</v>
      </c>
      <c r="C129" s="346" t="s">
        <v>23</v>
      </c>
      <c r="D129" s="24"/>
      <c r="E129" s="25"/>
      <c r="F129" s="270"/>
      <c r="G129" s="26">
        <v>50</v>
      </c>
      <c r="H129" s="26">
        <v>0</v>
      </c>
      <c r="I129" s="28" t="s">
        <v>84</v>
      </c>
      <c r="J129" s="29">
        <v>47483</v>
      </c>
      <c r="K129" s="28" t="s">
        <v>62</v>
      </c>
      <c r="L129" s="28" t="s">
        <v>127</v>
      </c>
      <c r="M129" s="28" t="s">
        <v>165</v>
      </c>
      <c r="N129" s="28" t="s">
        <v>166</v>
      </c>
      <c r="O129" s="30" t="s">
        <v>44</v>
      </c>
      <c r="P129" s="28" t="s">
        <v>38</v>
      </c>
      <c r="Q129" s="31" t="s">
        <v>89</v>
      </c>
      <c r="R129" s="32">
        <v>45778</v>
      </c>
      <c r="S129" s="33" t="s">
        <v>128</v>
      </c>
      <c r="T129" s="3"/>
      <c r="U129" s="34" t="str">
        <f t="shared" si="14"/>
        <v>Q1 2026</v>
      </c>
    </row>
    <row r="130" spans="1:21">
      <c r="A130" s="344"/>
      <c r="B130" s="345" t="s">
        <v>136</v>
      </c>
      <c r="C130" s="346" t="s">
        <v>23</v>
      </c>
      <c r="D130" s="24"/>
      <c r="E130" s="25"/>
      <c r="F130" s="348">
        <v>250</v>
      </c>
      <c r="G130" s="26">
        <v>225</v>
      </c>
      <c r="H130" s="26">
        <v>0</v>
      </c>
      <c r="I130" s="28" t="s">
        <v>84</v>
      </c>
      <c r="J130" s="29">
        <v>47483</v>
      </c>
      <c r="K130" s="28" t="s">
        <v>62</v>
      </c>
      <c r="L130" s="28" t="s">
        <v>127</v>
      </c>
      <c r="M130" s="28" t="s">
        <v>167</v>
      </c>
      <c r="N130" s="28" t="s">
        <v>166</v>
      </c>
      <c r="O130" s="30" t="s">
        <v>44</v>
      </c>
      <c r="P130" s="28" t="s">
        <v>38</v>
      </c>
      <c r="Q130" s="31" t="s">
        <v>89</v>
      </c>
      <c r="R130" s="32">
        <v>45838</v>
      </c>
      <c r="S130" s="33" t="s">
        <v>128</v>
      </c>
      <c r="T130" s="3"/>
      <c r="U130" s="34" t="str">
        <f t="shared" si="14"/>
        <v>Q1 2026</v>
      </c>
    </row>
    <row r="131" spans="1:21">
      <c r="A131" s="344"/>
      <c r="B131" s="345" t="s">
        <v>136</v>
      </c>
      <c r="C131" s="346" t="s">
        <v>23</v>
      </c>
      <c r="D131" s="24"/>
      <c r="E131" s="25"/>
      <c r="F131" s="348"/>
      <c r="G131" s="37">
        <v>25</v>
      </c>
      <c r="H131" s="37">
        <v>0</v>
      </c>
      <c r="I131" s="39" t="s">
        <v>84</v>
      </c>
      <c r="J131" s="40">
        <v>47483</v>
      </c>
      <c r="K131" s="39" t="s">
        <v>62</v>
      </c>
      <c r="L131" s="39" t="s">
        <v>127</v>
      </c>
      <c r="M131" s="39" t="s">
        <v>167</v>
      </c>
      <c r="N131" s="39" t="s">
        <v>166</v>
      </c>
      <c r="O131" s="30" t="s">
        <v>44</v>
      </c>
      <c r="P131" s="39" t="s">
        <v>38</v>
      </c>
      <c r="Q131" s="42" t="s">
        <v>89</v>
      </c>
      <c r="R131" s="349">
        <v>45991</v>
      </c>
      <c r="S131" s="33" t="s">
        <v>128</v>
      </c>
      <c r="T131" s="3"/>
      <c r="U131" s="34" t="str">
        <f t="shared" si="14"/>
        <v>Q3 2026</v>
      </c>
    </row>
    <row r="132" spans="1:21">
      <c r="A132" s="344"/>
      <c r="B132" s="345" t="s">
        <v>136</v>
      </c>
      <c r="C132" s="346" t="s">
        <v>23</v>
      </c>
      <c r="D132" s="24"/>
      <c r="E132" s="25"/>
      <c r="F132" s="350">
        <v>150</v>
      </c>
      <c r="G132" s="351">
        <v>100</v>
      </c>
      <c r="H132" s="62">
        <v>0</v>
      </c>
      <c r="I132" s="63" t="s">
        <v>84</v>
      </c>
      <c r="J132" s="64">
        <v>47483</v>
      </c>
      <c r="K132" s="63" t="s">
        <v>62</v>
      </c>
      <c r="L132" s="204" t="s">
        <v>127</v>
      </c>
      <c r="M132" s="63" t="s">
        <v>167</v>
      </c>
      <c r="N132" s="63" t="s">
        <v>166</v>
      </c>
      <c r="O132" s="63" t="s">
        <v>44</v>
      </c>
      <c r="P132" s="63" t="s">
        <v>38</v>
      </c>
      <c r="Q132" s="65" t="s">
        <v>89</v>
      </c>
      <c r="R132" s="66">
        <v>46326</v>
      </c>
      <c r="S132" s="33" t="s">
        <v>128</v>
      </c>
      <c r="T132" s="3"/>
      <c r="U132" s="34" t="str">
        <f t="shared" si="14"/>
        <v>Q3 2027</v>
      </c>
    </row>
    <row r="133" spans="1:21">
      <c r="A133" s="344"/>
      <c r="B133" s="345" t="s">
        <v>136</v>
      </c>
      <c r="C133" s="346" t="s">
        <v>23</v>
      </c>
      <c r="D133" s="24"/>
      <c r="E133" s="25"/>
      <c r="F133" s="352"/>
      <c r="G133" s="351">
        <v>50</v>
      </c>
      <c r="H133" s="62">
        <v>0</v>
      </c>
      <c r="I133" s="63" t="s">
        <v>84</v>
      </c>
      <c r="J133" s="64">
        <v>47483</v>
      </c>
      <c r="K133" s="63" t="s">
        <v>62</v>
      </c>
      <c r="L133" s="204" t="s">
        <v>127</v>
      </c>
      <c r="M133" s="63" t="s">
        <v>167</v>
      </c>
      <c r="N133" s="63" t="s">
        <v>166</v>
      </c>
      <c r="O133" s="63" t="s">
        <v>44</v>
      </c>
      <c r="P133" s="63" t="s">
        <v>38</v>
      </c>
      <c r="Q133" s="65" t="s">
        <v>89</v>
      </c>
      <c r="R133" s="66">
        <v>46356</v>
      </c>
      <c r="S133" s="33" t="s">
        <v>128</v>
      </c>
      <c r="T133" s="3"/>
      <c r="U133" s="34" t="str">
        <f t="shared" si="14"/>
        <v>Q3 2027</v>
      </c>
    </row>
    <row r="134" spans="1:21">
      <c r="A134" s="344"/>
      <c r="B134" s="345" t="s">
        <v>136</v>
      </c>
      <c r="C134" s="346" t="s">
        <v>23</v>
      </c>
      <c r="D134" s="24"/>
      <c r="E134" s="25"/>
      <c r="F134" s="270">
        <v>100</v>
      </c>
      <c r="G134" s="26">
        <v>25</v>
      </c>
      <c r="H134" s="26">
        <v>0</v>
      </c>
      <c r="I134" s="28" t="s">
        <v>84</v>
      </c>
      <c r="J134" s="29">
        <v>47483</v>
      </c>
      <c r="K134" s="28" t="s">
        <v>62</v>
      </c>
      <c r="L134" s="28" t="s">
        <v>127</v>
      </c>
      <c r="M134" s="28" t="s">
        <v>167</v>
      </c>
      <c r="N134" s="28" t="s">
        <v>166</v>
      </c>
      <c r="O134" s="28" t="s">
        <v>44</v>
      </c>
      <c r="P134" s="28" t="s">
        <v>38</v>
      </c>
      <c r="Q134" s="31" t="s">
        <v>89</v>
      </c>
      <c r="R134" s="349">
        <v>45991</v>
      </c>
      <c r="S134" s="33" t="s">
        <v>128</v>
      </c>
      <c r="T134" s="3"/>
      <c r="U134" s="34" t="str">
        <f t="shared" si="14"/>
        <v>Q3 2026</v>
      </c>
    </row>
    <row r="135" spans="1:21">
      <c r="A135" s="344"/>
      <c r="B135" s="345" t="s">
        <v>136</v>
      </c>
      <c r="C135" s="346" t="s">
        <v>23</v>
      </c>
      <c r="D135" s="24"/>
      <c r="E135" s="25"/>
      <c r="F135" s="270"/>
      <c r="G135" s="26">
        <v>75</v>
      </c>
      <c r="H135" s="26">
        <v>0</v>
      </c>
      <c r="I135" s="28" t="s">
        <v>84</v>
      </c>
      <c r="J135" s="29">
        <v>47483</v>
      </c>
      <c r="K135" s="28" t="s">
        <v>62</v>
      </c>
      <c r="L135" s="28" t="s">
        <v>127</v>
      </c>
      <c r="M135" s="28" t="s">
        <v>167</v>
      </c>
      <c r="N135" s="28" t="s">
        <v>166</v>
      </c>
      <c r="O135" s="28" t="s">
        <v>44</v>
      </c>
      <c r="P135" s="28" t="s">
        <v>38</v>
      </c>
      <c r="Q135" s="31" t="s">
        <v>89</v>
      </c>
      <c r="R135" s="66">
        <v>45991</v>
      </c>
      <c r="S135" s="33" t="s">
        <v>128</v>
      </c>
      <c r="T135" s="3"/>
      <c r="U135" s="34" t="str">
        <f t="shared" si="14"/>
        <v>Q3 2026</v>
      </c>
    </row>
    <row r="136" spans="1:21">
      <c r="A136" s="344"/>
      <c r="B136" s="345" t="s">
        <v>136</v>
      </c>
      <c r="C136" s="346" t="s">
        <v>23</v>
      </c>
      <c r="D136" s="24"/>
      <c r="E136" s="25"/>
      <c r="F136" s="350">
        <v>200</v>
      </c>
      <c r="G136" s="299">
        <v>100</v>
      </c>
      <c r="H136" s="55">
        <v>0</v>
      </c>
      <c r="I136" s="56" t="s">
        <v>84</v>
      </c>
      <c r="J136" s="57">
        <v>47483</v>
      </c>
      <c r="K136" s="56" t="s">
        <v>62</v>
      </c>
      <c r="L136" s="353" t="s">
        <v>127</v>
      </c>
      <c r="M136" s="56" t="s">
        <v>167</v>
      </c>
      <c r="N136" s="56" t="s">
        <v>166</v>
      </c>
      <c r="O136" s="56" t="s">
        <v>44</v>
      </c>
      <c r="P136" s="56" t="s">
        <v>38</v>
      </c>
      <c r="Q136" s="58" t="s">
        <v>89</v>
      </c>
      <c r="R136" s="354">
        <v>46264</v>
      </c>
      <c r="S136" s="44" t="s">
        <v>128</v>
      </c>
      <c r="T136" s="3"/>
      <c r="U136" s="34" t="str">
        <f>IF(ROUNDUP(MONTH(R136)/3,0)-1=0,_xlfn.CONCAT("Q",4," ",YEAR(R136)),_xlfn.CONCAT("Q",ROUNDUP(MONTH(R136)/3,0)-1," ",YEAR(R136)+1))</f>
        <v>Q2 2027</v>
      </c>
    </row>
    <row r="137" spans="1:21">
      <c r="A137" s="344"/>
      <c r="B137" s="345" t="s">
        <v>136</v>
      </c>
      <c r="C137" s="346" t="s">
        <v>23</v>
      </c>
      <c r="D137" s="24"/>
      <c r="E137" s="25"/>
      <c r="F137" s="352"/>
      <c r="G137" s="351">
        <v>100</v>
      </c>
      <c r="H137" s="62">
        <v>0</v>
      </c>
      <c r="I137" s="63" t="s">
        <v>84</v>
      </c>
      <c r="J137" s="64">
        <v>47483</v>
      </c>
      <c r="K137" s="63" t="s">
        <v>62</v>
      </c>
      <c r="L137" s="204" t="s">
        <v>127</v>
      </c>
      <c r="M137" s="63" t="s">
        <v>167</v>
      </c>
      <c r="N137" s="63" t="s">
        <v>166</v>
      </c>
      <c r="O137" s="63" t="s">
        <v>44</v>
      </c>
      <c r="P137" s="63" t="s">
        <v>38</v>
      </c>
      <c r="Q137" s="65" t="s">
        <v>89</v>
      </c>
      <c r="R137" s="66">
        <v>46295</v>
      </c>
      <c r="S137" s="33" t="s">
        <v>128</v>
      </c>
      <c r="T137" s="3"/>
      <c r="U137" s="34" t="str">
        <f t="shared" ref="U137:U138" si="15">IF(ROUNDUP(MONTH(R137)/3,0)-1=0,_xlfn.CONCAT("Q",4," ",YEAR(R137)),_xlfn.CONCAT("Q",ROUNDUP(MONTH(R137)/3,0)-1," ",YEAR(R137)+1))</f>
        <v>Q2 2027</v>
      </c>
    </row>
    <row r="138" spans="1:21" ht="14.4" thickBot="1">
      <c r="A138" s="344"/>
      <c r="B138" s="355" t="s">
        <v>136</v>
      </c>
      <c r="C138" s="356" t="s">
        <v>23</v>
      </c>
      <c r="D138" s="24"/>
      <c r="E138" s="25"/>
      <c r="F138" s="87">
        <v>50</v>
      </c>
      <c r="G138" s="87">
        <v>0</v>
      </c>
      <c r="H138" s="87">
        <f>10*5.2</f>
        <v>52</v>
      </c>
      <c r="I138" s="89" t="s">
        <v>84</v>
      </c>
      <c r="J138" s="150">
        <v>47483</v>
      </c>
      <c r="K138" s="89" t="s">
        <v>114</v>
      </c>
      <c r="L138" s="89" t="s">
        <v>95</v>
      </c>
      <c r="M138" s="89" t="s">
        <v>168</v>
      </c>
      <c r="N138" s="89" t="s">
        <v>166</v>
      </c>
      <c r="O138" s="89"/>
      <c r="P138" s="89" t="s">
        <v>39</v>
      </c>
      <c r="Q138" s="91" t="s">
        <v>39</v>
      </c>
      <c r="R138" s="152">
        <v>45743</v>
      </c>
      <c r="S138" s="33" t="s">
        <v>129</v>
      </c>
      <c r="T138" s="3"/>
      <c r="U138" s="34" t="str">
        <f t="shared" si="15"/>
        <v>Q4 2025</v>
      </c>
    </row>
    <row r="139" spans="1:21" ht="14.4" thickTop="1">
      <c r="A139" s="344"/>
      <c r="B139" s="345"/>
      <c r="C139" s="346"/>
      <c r="D139" s="24"/>
      <c r="E139" s="25"/>
      <c r="F139" s="323"/>
      <c r="G139" s="323"/>
      <c r="H139" s="323"/>
      <c r="I139" s="324"/>
      <c r="J139" s="324"/>
      <c r="K139" s="324"/>
      <c r="L139" s="324"/>
      <c r="M139" s="357"/>
      <c r="N139" s="324"/>
      <c r="O139" s="324"/>
      <c r="P139" s="324"/>
      <c r="Q139" s="324"/>
      <c r="R139" s="325"/>
      <c r="S139" s="2"/>
      <c r="T139" s="3"/>
      <c r="U139" s="3"/>
    </row>
    <row r="140" spans="1:21" ht="14.4" thickBot="1">
      <c r="A140" s="81">
        <f>A125+1</f>
        <v>15</v>
      </c>
      <c r="B140" s="358" t="s">
        <v>136</v>
      </c>
      <c r="C140" s="358" t="s">
        <v>23</v>
      </c>
      <c r="D140" s="359" t="s">
        <v>24</v>
      </c>
      <c r="E140" s="360">
        <v>75</v>
      </c>
      <c r="F140" s="87">
        <v>75</v>
      </c>
      <c r="G140" s="87">
        <v>0</v>
      </c>
      <c r="H140" s="87">
        <f>14*5.2</f>
        <v>72.8</v>
      </c>
      <c r="I140" s="89" t="s">
        <v>84</v>
      </c>
      <c r="J140" s="90">
        <v>47483</v>
      </c>
      <c r="K140" s="90" t="s">
        <v>114</v>
      </c>
      <c r="L140" s="89" t="s">
        <v>95</v>
      </c>
      <c r="M140" s="89" t="s">
        <v>168</v>
      </c>
      <c r="N140" s="89" t="s">
        <v>166</v>
      </c>
      <c r="O140" s="89"/>
      <c r="P140" s="89" t="s">
        <v>39</v>
      </c>
      <c r="Q140" s="91" t="s">
        <v>39</v>
      </c>
      <c r="R140" s="152">
        <v>45745</v>
      </c>
      <c r="S140" s="33" t="s">
        <v>129</v>
      </c>
      <c r="T140" s="3"/>
      <c r="U140" s="34" t="str">
        <f t="shared" ref="U140" si="16">IF(ROUNDUP(MONTH(R140)/3,0)-1=0,_xlfn.CONCAT("Q",4," ",YEAR(R140)),_xlfn.CONCAT("Q",ROUNDUP(MONTH(R140)/3,0)-1," ",YEAR(R140)+1))</f>
        <v>Q4 2025</v>
      </c>
    </row>
    <row r="141" spans="1:21" ht="15" thickTop="1" thickBot="1">
      <c r="A141" s="81"/>
      <c r="B141" s="345"/>
      <c r="C141" s="345"/>
      <c r="D141" s="359"/>
      <c r="E141" s="360"/>
      <c r="F141" s="361"/>
      <c r="G141" s="361"/>
      <c r="H141" s="361"/>
      <c r="I141" s="362"/>
      <c r="J141" s="362"/>
      <c r="K141" s="362"/>
      <c r="L141" s="362"/>
      <c r="M141" s="362"/>
      <c r="N141" s="362"/>
      <c r="O141" s="362"/>
      <c r="P141" s="362"/>
      <c r="Q141" s="362"/>
      <c r="R141" s="363"/>
      <c r="S141" s="2"/>
      <c r="T141" s="3"/>
      <c r="U141" s="3"/>
    </row>
    <row r="142" spans="1:21" ht="14.4" thickBot="1">
      <c r="A142" s="21">
        <f>A140+1</f>
        <v>16</v>
      </c>
      <c r="B142" s="364" t="s">
        <v>136</v>
      </c>
      <c r="C142" s="364" t="s">
        <v>23</v>
      </c>
      <c r="D142" s="365"/>
      <c r="E142" s="116">
        <v>1530</v>
      </c>
      <c r="F142" s="366">
        <v>287.5</v>
      </c>
      <c r="G142" s="366">
        <f t="shared" ref="G142:G146" si="17">F142</f>
        <v>287.5</v>
      </c>
      <c r="H142" s="366">
        <v>0</v>
      </c>
      <c r="I142" s="8" t="s">
        <v>84</v>
      </c>
      <c r="J142" s="367">
        <v>47483</v>
      </c>
      <c r="K142" s="8" t="s">
        <v>161</v>
      </c>
      <c r="L142" s="8" t="s">
        <v>109</v>
      </c>
      <c r="M142" s="8" t="s">
        <v>162</v>
      </c>
      <c r="N142" s="8" t="s">
        <v>169</v>
      </c>
      <c r="O142" s="8" t="s">
        <v>80</v>
      </c>
      <c r="P142" s="8" t="s">
        <v>38</v>
      </c>
      <c r="Q142" s="368">
        <v>46506</v>
      </c>
      <c r="R142" s="369">
        <v>46538</v>
      </c>
      <c r="S142" s="59" t="s">
        <v>163</v>
      </c>
      <c r="T142" s="3" t="s">
        <v>170</v>
      </c>
      <c r="U142" s="34" t="str">
        <f t="shared" ref="U142:U144" si="18">IF(ROUNDUP(MONTH(R142)/3,0)-1=0,_xlfn.CONCAT("Q",4," ",YEAR(R142)),_xlfn.CONCAT("Q",ROUNDUP(MONTH(R142)/3,0)-1," ",YEAR(R142)+1))</f>
        <v>Q1 2028</v>
      </c>
    </row>
    <row r="143" spans="1:21" ht="14.4" thickBot="1">
      <c r="A143" s="21"/>
      <c r="B143" s="370" t="s">
        <v>136</v>
      </c>
      <c r="C143" s="370" t="s">
        <v>23</v>
      </c>
      <c r="D143" s="218"/>
      <c r="E143" s="116"/>
      <c r="F143" s="163">
        <v>162.5</v>
      </c>
      <c r="G143" s="163">
        <f t="shared" si="17"/>
        <v>162.5</v>
      </c>
      <c r="H143" s="163">
        <v>0</v>
      </c>
      <c r="I143" s="164" t="s">
        <v>84</v>
      </c>
      <c r="J143" s="165">
        <v>47483</v>
      </c>
      <c r="K143" s="164" t="s">
        <v>85</v>
      </c>
      <c r="L143" s="164" t="s">
        <v>171</v>
      </c>
      <c r="M143" s="164" t="s">
        <v>162</v>
      </c>
      <c r="N143" s="164" t="s">
        <v>169</v>
      </c>
      <c r="O143" s="164" t="s">
        <v>37</v>
      </c>
      <c r="P143" s="164" t="s">
        <v>38</v>
      </c>
      <c r="Q143" s="371" t="s">
        <v>39</v>
      </c>
      <c r="R143" s="168">
        <v>46538</v>
      </c>
      <c r="S143" s="59" t="s">
        <v>40</v>
      </c>
      <c r="T143" s="338" t="s">
        <v>164</v>
      </c>
      <c r="U143" s="34" t="str">
        <f t="shared" si="18"/>
        <v>Q1 2028</v>
      </c>
    </row>
    <row r="144" spans="1:21" ht="14.4" thickBot="1">
      <c r="A144" s="21"/>
      <c r="B144" s="370" t="s">
        <v>136</v>
      </c>
      <c r="C144" s="370" t="s">
        <v>23</v>
      </c>
      <c r="D144" s="218"/>
      <c r="E144" s="116"/>
      <c r="F144" s="163">
        <v>227.5</v>
      </c>
      <c r="G144" s="163">
        <f t="shared" si="17"/>
        <v>227.5</v>
      </c>
      <c r="H144" s="163">
        <v>0</v>
      </c>
      <c r="I144" s="164" t="s">
        <v>84</v>
      </c>
      <c r="J144" s="165">
        <v>47483</v>
      </c>
      <c r="K144" s="164" t="s">
        <v>85</v>
      </c>
      <c r="L144" s="164" t="s">
        <v>171</v>
      </c>
      <c r="M144" s="164" t="s">
        <v>172</v>
      </c>
      <c r="N144" s="164" t="s">
        <v>169</v>
      </c>
      <c r="O144" s="164" t="s">
        <v>37</v>
      </c>
      <c r="P144" s="164" t="s">
        <v>38</v>
      </c>
      <c r="Q144" s="371" t="s">
        <v>39</v>
      </c>
      <c r="R144" s="168">
        <v>46599</v>
      </c>
      <c r="S144" s="59" t="s">
        <v>40</v>
      </c>
      <c r="T144" s="338" t="s">
        <v>164</v>
      </c>
      <c r="U144" s="34" t="str">
        <f t="shared" si="18"/>
        <v>Q2 2028</v>
      </c>
    </row>
    <row r="145" spans="1:21" ht="14.4" thickBot="1">
      <c r="A145" s="21"/>
      <c r="B145" s="372" t="s">
        <v>136</v>
      </c>
      <c r="C145" s="372" t="s">
        <v>23</v>
      </c>
      <c r="D145" s="218"/>
      <c r="E145" s="116"/>
      <c r="F145" s="163">
        <v>366</v>
      </c>
      <c r="G145" s="163">
        <f t="shared" si="17"/>
        <v>366</v>
      </c>
      <c r="H145" s="163">
        <v>0</v>
      </c>
      <c r="I145" s="164" t="s">
        <v>84</v>
      </c>
      <c r="J145" s="165">
        <v>47483</v>
      </c>
      <c r="K145" s="175" t="s">
        <v>85</v>
      </c>
      <c r="L145" s="14" t="s">
        <v>86</v>
      </c>
      <c r="M145" s="164" t="s">
        <v>173</v>
      </c>
      <c r="N145" s="164" t="s">
        <v>169</v>
      </c>
      <c r="O145" s="164" t="s">
        <v>37</v>
      </c>
      <c r="P145" s="164" t="s">
        <v>38</v>
      </c>
      <c r="Q145" s="371" t="s">
        <v>39</v>
      </c>
      <c r="R145" s="168">
        <v>46538</v>
      </c>
      <c r="S145" s="59" t="s">
        <v>40</v>
      </c>
      <c r="T145" s="3" t="s">
        <v>50</v>
      </c>
      <c r="U145" s="34" t="str">
        <f t="shared" ref="U145:U146" si="19">IF(ROUNDUP(MONTH(R145)/3,0)-1=0,_xlfn.CONCAT("Q",4," ",YEAR(R145)),_xlfn.CONCAT("Q",ROUNDUP(MONTH(R145)/3,0)-1," ",YEAR(R145)+1))</f>
        <v>Q1 2028</v>
      </c>
    </row>
    <row r="146" spans="1:21" ht="14.4" thickBot="1">
      <c r="A146" s="21"/>
      <c r="B146" s="372" t="s">
        <v>136</v>
      </c>
      <c r="C146" s="743" t="s">
        <v>23</v>
      </c>
      <c r="D146" s="218"/>
      <c r="E146" s="116"/>
      <c r="F146" s="420">
        <v>134</v>
      </c>
      <c r="G146" s="420">
        <f t="shared" si="17"/>
        <v>134</v>
      </c>
      <c r="H146" s="420">
        <v>0</v>
      </c>
      <c r="I146" s="421" t="s">
        <v>84</v>
      </c>
      <c r="J146" s="422">
        <v>47483</v>
      </c>
      <c r="K146" s="421" t="s">
        <v>161</v>
      </c>
      <c r="L146" s="421" t="s">
        <v>109</v>
      </c>
      <c r="M146" s="421" t="s">
        <v>173</v>
      </c>
      <c r="N146" s="421" t="s">
        <v>169</v>
      </c>
      <c r="O146" s="421" t="s">
        <v>37</v>
      </c>
      <c r="P146" s="421" t="s">
        <v>38</v>
      </c>
      <c r="Q146" s="744" t="s">
        <v>39</v>
      </c>
      <c r="R146" s="745">
        <v>46752</v>
      </c>
      <c r="S146" s="59" t="s">
        <v>40</v>
      </c>
      <c r="T146" s="3" t="s">
        <v>50</v>
      </c>
      <c r="U146" s="34" t="str">
        <f t="shared" si="19"/>
        <v>Q3 2028</v>
      </c>
    </row>
    <row r="147" spans="1:21" ht="14.4" thickTop="1">
      <c r="A147" s="21"/>
      <c r="B147" s="374"/>
      <c r="C147" s="375"/>
      <c r="D147" s="22"/>
      <c r="E147" s="116"/>
      <c r="F147" s="323"/>
      <c r="G147" s="323"/>
      <c r="H147" s="323"/>
      <c r="I147" s="324"/>
      <c r="J147" s="324"/>
      <c r="K147" s="324"/>
      <c r="L147" s="324"/>
      <c r="M147" s="357"/>
      <c r="N147" s="324"/>
      <c r="O147" s="324"/>
      <c r="P147" s="324"/>
      <c r="Q147" s="324"/>
      <c r="R147" s="325"/>
      <c r="S147" s="2"/>
      <c r="T147" s="3"/>
      <c r="U147" s="3"/>
    </row>
    <row r="148" spans="1:21" ht="14.4" thickBot="1">
      <c r="A148" s="376">
        <f>A142+1</f>
        <v>17</v>
      </c>
      <c r="B148" s="377" t="s">
        <v>136</v>
      </c>
      <c r="C148" s="378" t="s">
        <v>23</v>
      </c>
      <c r="D148" s="379"/>
      <c r="E148" s="380">
        <v>100</v>
      </c>
      <c r="F148" s="46">
        <v>100</v>
      </c>
      <c r="G148" s="47">
        <v>0</v>
      </c>
      <c r="H148" s="48">
        <f>5*5.2</f>
        <v>26</v>
      </c>
      <c r="I148" s="49" t="s">
        <v>84</v>
      </c>
      <c r="J148" s="381">
        <v>47483</v>
      </c>
      <c r="K148" s="49" t="s">
        <v>114</v>
      </c>
      <c r="L148" s="49" t="s">
        <v>27</v>
      </c>
      <c r="M148" s="49" t="s">
        <v>174</v>
      </c>
      <c r="N148" s="49" t="s">
        <v>169</v>
      </c>
      <c r="O148" s="49"/>
      <c r="P148" s="49" t="s">
        <v>39</v>
      </c>
      <c r="Q148" s="52" t="s">
        <v>39</v>
      </c>
      <c r="R148" s="53">
        <v>46234</v>
      </c>
      <c r="S148" s="44" t="s">
        <v>32</v>
      </c>
      <c r="T148" s="3"/>
      <c r="U148" s="34" t="str">
        <f>IF(ROUNDUP(MONTH(R148)/3,0)-1=0,_xlfn.CONCAT("Q",4," ",YEAR(R148)),_xlfn.CONCAT("Q",ROUNDUP(MONTH(R148)/3,0)-1," ",YEAR(R148)+1))</f>
        <v>Q2 2027</v>
      </c>
    </row>
    <row r="149" spans="1:21" ht="14.4" thickBot="1">
      <c r="A149" s="382"/>
      <c r="B149" s="373" t="s">
        <v>136</v>
      </c>
      <c r="C149" s="383" t="s">
        <v>23</v>
      </c>
      <c r="D149" s="379"/>
      <c r="E149" s="380"/>
      <c r="F149" s="384"/>
      <c r="G149" s="385">
        <v>0</v>
      </c>
      <c r="H149" s="386">
        <f>15*5.2</f>
        <v>78</v>
      </c>
      <c r="I149" s="387" t="s">
        <v>84</v>
      </c>
      <c r="J149" s="388">
        <v>47483</v>
      </c>
      <c r="K149" s="387" t="s">
        <v>114</v>
      </c>
      <c r="L149" s="387" t="s">
        <v>27</v>
      </c>
      <c r="M149" s="387" t="s">
        <v>174</v>
      </c>
      <c r="N149" s="387" t="s">
        <v>169</v>
      </c>
      <c r="O149" s="387"/>
      <c r="P149" s="387" t="s">
        <v>39</v>
      </c>
      <c r="Q149" s="389" t="s">
        <v>39</v>
      </c>
      <c r="R149" s="390">
        <v>46265</v>
      </c>
      <c r="S149" s="44" t="s">
        <v>32</v>
      </c>
      <c r="T149" s="3" t="s">
        <v>2</v>
      </c>
      <c r="U149" s="34" t="str">
        <f t="shared" ref="U149" si="20">IF(ROUNDUP(MONTH(R149)/3,0)-1=0,_xlfn.CONCAT("Q",4," ",YEAR(R149)),_xlfn.CONCAT("Q",ROUNDUP(MONTH(R149)/3,0)-1," ",YEAR(R149)+1))</f>
        <v>Q2 2027</v>
      </c>
    </row>
    <row r="150" spans="1:21" ht="14.4" thickTop="1">
      <c r="A150" s="391"/>
      <c r="B150" s="392"/>
      <c r="C150" s="393"/>
      <c r="D150" s="231"/>
      <c r="E150" s="380"/>
      <c r="F150" s="394"/>
      <c r="G150" s="395"/>
      <c r="H150" s="396"/>
      <c r="I150" s="397"/>
      <c r="J150" s="398"/>
      <c r="K150" s="397"/>
      <c r="L150" s="397"/>
      <c r="M150" s="397"/>
      <c r="N150" s="397"/>
      <c r="O150" s="397"/>
      <c r="P150" s="397"/>
      <c r="Q150" s="399"/>
      <c r="R150" s="400"/>
      <c r="S150" s="44"/>
      <c r="T150" s="3"/>
      <c r="U150" s="34"/>
    </row>
    <row r="151" spans="1:21" ht="14.4" thickBot="1">
      <c r="A151" s="376">
        <f>A148+1</f>
        <v>18</v>
      </c>
      <c r="B151" s="401" t="s">
        <v>136</v>
      </c>
      <c r="C151" s="402" t="s">
        <v>23</v>
      </c>
      <c r="D151" s="379"/>
      <c r="E151" s="403">
        <v>195</v>
      </c>
      <c r="F151" s="46">
        <v>195</v>
      </c>
      <c r="G151" s="404">
        <v>0</v>
      </c>
      <c r="H151" s="405">
        <f>19*5.2</f>
        <v>98.8</v>
      </c>
      <c r="I151" s="208" t="s">
        <v>84</v>
      </c>
      <c r="J151" s="406">
        <v>47483</v>
      </c>
      <c r="K151" s="208" t="s">
        <v>114</v>
      </c>
      <c r="L151" s="208" t="s">
        <v>27</v>
      </c>
      <c r="M151" s="208" t="s">
        <v>174</v>
      </c>
      <c r="N151" s="208" t="s">
        <v>169</v>
      </c>
      <c r="O151" s="208"/>
      <c r="P151" s="208" t="s">
        <v>39</v>
      </c>
      <c r="Q151" s="407"/>
      <c r="R151" s="53">
        <v>46142</v>
      </c>
      <c r="S151" s="44" t="s">
        <v>32</v>
      </c>
      <c r="T151" s="3"/>
      <c r="U151" s="34" t="str">
        <f t="shared" ref="U151:U152" si="21">IF(ROUNDUP(MONTH(R151)/3,0)-1=0,_xlfn.CONCAT("Q",4," ",YEAR(R151)),_xlfn.CONCAT("Q",ROUNDUP(MONTH(R151)/3,0)-1," ",YEAR(R151)+1))</f>
        <v>Q1 2027</v>
      </c>
    </row>
    <row r="152" spans="1:21" ht="14.4" thickBot="1">
      <c r="A152" s="376"/>
      <c r="B152" s="370" t="s">
        <v>136</v>
      </c>
      <c r="C152" s="408" t="s">
        <v>23</v>
      </c>
      <c r="D152" s="219"/>
      <c r="E152" s="403"/>
      <c r="F152" s="46"/>
      <c r="G152" s="404">
        <v>0</v>
      </c>
      <c r="H152" s="405">
        <f>5.2*6</f>
        <v>31.200000000000003</v>
      </c>
      <c r="I152" s="208" t="s">
        <v>84</v>
      </c>
      <c r="J152" s="406">
        <v>47483</v>
      </c>
      <c r="K152" s="208" t="s">
        <v>114</v>
      </c>
      <c r="L152" s="208" t="s">
        <v>27</v>
      </c>
      <c r="M152" s="208" t="s">
        <v>174</v>
      </c>
      <c r="N152" s="208" t="s">
        <v>169</v>
      </c>
      <c r="O152" s="208"/>
      <c r="P152" s="208" t="s">
        <v>39</v>
      </c>
      <c r="Q152" s="407"/>
      <c r="R152" s="53">
        <v>46173</v>
      </c>
      <c r="S152" s="44" t="s">
        <v>32</v>
      </c>
      <c r="T152" s="3"/>
      <c r="U152" s="34" t="str">
        <f t="shared" si="21"/>
        <v>Q1 2027</v>
      </c>
    </row>
    <row r="153" spans="1:21" ht="14.4" thickBot="1">
      <c r="A153" s="376"/>
      <c r="B153" s="372" t="s">
        <v>136</v>
      </c>
      <c r="C153" s="409" t="s">
        <v>23</v>
      </c>
      <c r="D153" s="219"/>
      <c r="E153" s="403"/>
      <c r="F153" s="410"/>
      <c r="G153" s="47">
        <v>0</v>
      </c>
      <c r="H153" s="48">
        <f>5*5.2</f>
        <v>26</v>
      </c>
      <c r="I153" s="49" t="s">
        <v>84</v>
      </c>
      <c r="J153" s="381">
        <v>47483</v>
      </c>
      <c r="K153" s="49" t="s">
        <v>114</v>
      </c>
      <c r="L153" s="49" t="s">
        <v>27</v>
      </c>
      <c r="M153" s="49" t="s">
        <v>174</v>
      </c>
      <c r="N153" s="49" t="s">
        <v>169</v>
      </c>
      <c r="O153" s="49"/>
      <c r="P153" s="49" t="s">
        <v>39</v>
      </c>
      <c r="Q153" s="52"/>
      <c r="R153" s="53">
        <v>46203</v>
      </c>
      <c r="S153" s="44" t="s">
        <v>32</v>
      </c>
      <c r="T153" s="3"/>
      <c r="U153" s="34" t="str">
        <f>IF(ROUNDUP(MONTH(R153)/3,0)-1=0,_xlfn.CONCAT("Q",4," ",YEAR(R153)),_xlfn.CONCAT("Q",ROUNDUP(MONTH(R153)/3,0)-1," ",YEAR(R153)+1))</f>
        <v>Q1 2027</v>
      </c>
    </row>
    <row r="154" spans="1:21" ht="14.4" thickBot="1">
      <c r="A154" s="376"/>
      <c r="B154" s="373" t="s">
        <v>136</v>
      </c>
      <c r="C154" s="383" t="s">
        <v>23</v>
      </c>
      <c r="D154" s="219"/>
      <c r="E154" s="403"/>
      <c r="F154" s="292"/>
      <c r="G154" s="385">
        <v>0</v>
      </c>
      <c r="H154" s="386">
        <f>10*5.2</f>
        <v>52</v>
      </c>
      <c r="I154" s="387" t="s">
        <v>84</v>
      </c>
      <c r="J154" s="388">
        <v>47483</v>
      </c>
      <c r="K154" s="387" t="s">
        <v>114</v>
      </c>
      <c r="L154" s="387" t="s">
        <v>27</v>
      </c>
      <c r="M154" s="387" t="s">
        <v>174</v>
      </c>
      <c r="N154" s="387" t="s">
        <v>169</v>
      </c>
      <c r="O154" s="387"/>
      <c r="P154" s="387" t="s">
        <v>39</v>
      </c>
      <c r="Q154" s="389"/>
      <c r="R154" s="75">
        <v>46234</v>
      </c>
      <c r="S154" s="44" t="s">
        <v>32</v>
      </c>
      <c r="T154" s="3"/>
      <c r="U154" s="34" t="str">
        <f t="shared" ref="U154" si="22">IF(ROUNDUP(MONTH(R154)/3,0)-1=0,_xlfn.CONCAT("Q",4," ",YEAR(R154)),_xlfn.CONCAT("Q",ROUNDUP(MONTH(R154)/3,0)-1," ",YEAR(R154)+1))</f>
        <v>Q2 2027</v>
      </c>
    </row>
    <row r="155" spans="1:21" ht="14.4" thickTop="1">
      <c r="A155" s="411"/>
      <c r="B155" s="392"/>
      <c r="C155" s="412"/>
      <c r="D155" s="230"/>
      <c r="E155" s="413"/>
      <c r="F155" s="394"/>
      <c r="G155" s="395"/>
      <c r="H155" s="414"/>
      <c r="I155" s="397"/>
      <c r="J155" s="398"/>
      <c r="K155" s="397"/>
      <c r="L155" s="397"/>
      <c r="M155" s="397"/>
      <c r="N155" s="397"/>
      <c r="O155" s="397"/>
      <c r="P155" s="397"/>
      <c r="Q155" s="399"/>
      <c r="R155" s="400"/>
      <c r="S155" s="44"/>
      <c r="T155" s="3"/>
      <c r="U155" s="34"/>
    </row>
    <row r="156" spans="1:21" ht="14.4" thickBot="1">
      <c r="A156" s="376">
        <f>A151+1</f>
        <v>19</v>
      </c>
      <c r="B156" s="401" t="s">
        <v>136</v>
      </c>
      <c r="C156" s="402" t="s">
        <v>23</v>
      </c>
      <c r="D156" s="379"/>
      <c r="E156" s="360">
        <v>65</v>
      </c>
      <c r="F156" s="46">
        <v>65</v>
      </c>
      <c r="G156" s="404">
        <v>0</v>
      </c>
      <c r="H156" s="405">
        <f>8*5.2</f>
        <v>41.6</v>
      </c>
      <c r="I156" s="208" t="s">
        <v>84</v>
      </c>
      <c r="J156" s="406">
        <v>47483</v>
      </c>
      <c r="K156" s="208" t="s">
        <v>114</v>
      </c>
      <c r="L156" s="208" t="s">
        <v>122</v>
      </c>
      <c r="M156" s="208" t="s">
        <v>175</v>
      </c>
      <c r="N156" s="208" t="s">
        <v>169</v>
      </c>
      <c r="O156" s="208"/>
      <c r="P156" s="208" t="s">
        <v>39</v>
      </c>
      <c r="Q156" s="407" t="s">
        <v>39</v>
      </c>
      <c r="R156" s="53">
        <v>46112</v>
      </c>
      <c r="S156" s="44" t="s">
        <v>123</v>
      </c>
      <c r="T156" s="3"/>
      <c r="U156" s="34" t="str">
        <f t="shared" ref="U156:U157" si="23">IF(ROUNDUP(MONTH(R156)/3,0)-1=0,_xlfn.CONCAT("Q",4," ",YEAR(R156)),_xlfn.CONCAT("Q",ROUNDUP(MONTH(R156)/3,0)-1," ",YEAR(R156)+1))</f>
        <v>Q4 2026</v>
      </c>
    </row>
    <row r="157" spans="1:21" ht="14.4" thickBot="1">
      <c r="A157" s="376"/>
      <c r="B157" s="373" t="s">
        <v>136</v>
      </c>
      <c r="C157" s="383" t="s">
        <v>23</v>
      </c>
      <c r="D157" s="219"/>
      <c r="E157" s="360"/>
      <c r="F157" s="415"/>
      <c r="G157" s="147">
        <v>0</v>
      </c>
      <c r="H157" s="272">
        <f>5*5.2</f>
        <v>26</v>
      </c>
      <c r="I157" s="149" t="s">
        <v>84</v>
      </c>
      <c r="J157" s="416">
        <v>47483</v>
      </c>
      <c r="K157" s="149" t="s">
        <v>114</v>
      </c>
      <c r="L157" s="149" t="s">
        <v>122</v>
      </c>
      <c r="M157" s="149" t="s">
        <v>175</v>
      </c>
      <c r="N157" s="149" t="s">
        <v>169</v>
      </c>
      <c r="O157" s="149"/>
      <c r="P157" s="149" t="s">
        <v>39</v>
      </c>
      <c r="Q157" s="151" t="s">
        <v>39</v>
      </c>
      <c r="R157" s="296">
        <v>46112</v>
      </c>
      <c r="S157" s="44" t="s">
        <v>123</v>
      </c>
      <c r="T157" s="3"/>
      <c r="U157" s="34" t="str">
        <f t="shared" si="23"/>
        <v>Q4 2026</v>
      </c>
    </row>
    <row r="158" spans="1:21" ht="14.4" thickTop="1">
      <c r="A158" s="411"/>
      <c r="B158" s="392"/>
      <c r="C158" s="412"/>
      <c r="D158" s="230"/>
      <c r="E158" s="84"/>
      <c r="F158" s="417"/>
      <c r="G158" s="417"/>
      <c r="H158" s="417"/>
      <c r="I158" s="392"/>
      <c r="J158" s="418"/>
      <c r="K158" s="392"/>
      <c r="L158" s="392"/>
      <c r="M158" s="392"/>
      <c r="N158" s="392"/>
      <c r="O158" s="392"/>
      <c r="P158" s="392"/>
      <c r="Q158" s="419"/>
      <c r="R158" s="400"/>
      <c r="S158" s="2"/>
      <c r="T158" s="3"/>
      <c r="U158" s="34"/>
    </row>
    <row r="159" spans="1:21" ht="14.4" thickBot="1">
      <c r="A159" s="376">
        <f>A156+1</f>
        <v>20</v>
      </c>
      <c r="B159" s="401" t="s">
        <v>136</v>
      </c>
      <c r="C159" s="402" t="s">
        <v>23</v>
      </c>
      <c r="D159" s="379"/>
      <c r="E159" s="360">
        <v>75</v>
      </c>
      <c r="F159" s="420">
        <v>75</v>
      </c>
      <c r="G159" s="420">
        <v>75</v>
      </c>
      <c r="H159" s="420">
        <v>0</v>
      </c>
      <c r="I159" s="421" t="s">
        <v>84</v>
      </c>
      <c r="J159" s="422">
        <v>47483</v>
      </c>
      <c r="K159" s="421" t="s">
        <v>161</v>
      </c>
      <c r="L159" s="421" t="s">
        <v>109</v>
      </c>
      <c r="M159" s="421" t="s">
        <v>176</v>
      </c>
      <c r="N159" s="421" t="s">
        <v>169</v>
      </c>
      <c r="O159" s="421" t="s">
        <v>80</v>
      </c>
      <c r="P159" s="421" t="s">
        <v>38</v>
      </c>
      <c r="Q159" s="423">
        <v>46506</v>
      </c>
      <c r="R159" s="424">
        <v>46843</v>
      </c>
      <c r="S159" s="59" t="s">
        <v>163</v>
      </c>
      <c r="T159" s="3"/>
      <c r="U159" s="34" t="str">
        <f t="shared" ref="U159" si="24">IF(ROUNDUP(MONTH(R159)/3,0)-1=0,_xlfn.CONCAT("Q",4," ",YEAR(R159)),_xlfn.CONCAT("Q",ROUNDUP(MONTH(R159)/3,0)-1," ",YEAR(R159)+1))</f>
        <v>Q4 2028</v>
      </c>
    </row>
    <row r="160" spans="1:21" ht="14.4" thickBot="1">
      <c r="A160" s="382"/>
      <c r="B160" s="370"/>
      <c r="C160" s="408"/>
      <c r="D160" s="23"/>
      <c r="E160" s="360"/>
      <c r="F160" s="425"/>
      <c r="G160" s="425"/>
      <c r="H160" s="425"/>
      <c r="I160" s="370"/>
      <c r="J160" s="426"/>
      <c r="K160" s="370"/>
      <c r="L160" s="370"/>
      <c r="M160" s="370"/>
      <c r="N160" s="370"/>
      <c r="O160" s="370"/>
      <c r="P160" s="370"/>
      <c r="Q160" s="427"/>
      <c r="R160" s="428"/>
      <c r="S160" s="2"/>
      <c r="T160" s="3"/>
      <c r="U160" s="34"/>
    </row>
    <row r="161" spans="1:21" ht="14.4" thickBot="1">
      <c r="A161" s="21">
        <f>A159+1</f>
        <v>21</v>
      </c>
      <c r="B161" s="364" t="s">
        <v>136</v>
      </c>
      <c r="C161" s="429" t="s">
        <v>23</v>
      </c>
      <c r="D161" s="430" t="s">
        <v>177</v>
      </c>
      <c r="E161" s="431">
        <v>600</v>
      </c>
      <c r="F161" s="432">
        <v>600</v>
      </c>
      <c r="G161" s="329">
        <v>50</v>
      </c>
      <c r="H161" s="329">
        <v>0</v>
      </c>
      <c r="I161" s="331" t="s">
        <v>178</v>
      </c>
      <c r="J161" s="332">
        <v>46934</v>
      </c>
      <c r="K161" s="331" t="s">
        <v>179</v>
      </c>
      <c r="L161" s="331" t="s">
        <v>180</v>
      </c>
      <c r="M161" s="331" t="s">
        <v>181</v>
      </c>
      <c r="N161" s="331" t="s">
        <v>181</v>
      </c>
      <c r="O161" s="331" t="s">
        <v>182</v>
      </c>
      <c r="P161" s="331" t="s">
        <v>38</v>
      </c>
      <c r="Q161" s="333">
        <v>46375</v>
      </c>
      <c r="R161" s="334">
        <v>46295</v>
      </c>
      <c r="S161" s="33"/>
      <c r="T161" s="3"/>
      <c r="U161" s="34" t="str">
        <f t="shared" ref="U161:U163" si="25">IF(ROUNDUP(MONTH(R161)/3,0)-1=0,_xlfn.CONCAT("Q",4," ",YEAR(R161)),_xlfn.CONCAT("Q",ROUNDUP(MONTH(R161)/3,0)-1," ",YEAR(R161)+1))</f>
        <v>Q2 2027</v>
      </c>
    </row>
    <row r="162" spans="1:21" ht="14.4" thickBot="1">
      <c r="A162" s="35"/>
      <c r="B162" s="372" t="s">
        <v>136</v>
      </c>
      <c r="C162" s="746" t="s">
        <v>23</v>
      </c>
      <c r="D162" s="430"/>
      <c r="E162" s="431"/>
      <c r="F162" s="432"/>
      <c r="G162" s="170">
        <v>250</v>
      </c>
      <c r="H162" s="163">
        <v>0</v>
      </c>
      <c r="I162" s="164" t="s">
        <v>178</v>
      </c>
      <c r="J162" s="165">
        <v>46934</v>
      </c>
      <c r="K162" s="164" t="s">
        <v>179</v>
      </c>
      <c r="L162" s="164" t="s">
        <v>180</v>
      </c>
      <c r="M162" s="164" t="s">
        <v>181</v>
      </c>
      <c r="N162" s="164" t="s">
        <v>181</v>
      </c>
      <c r="O162" s="164" t="s">
        <v>182</v>
      </c>
      <c r="P162" s="164" t="s">
        <v>38</v>
      </c>
      <c r="Q162" s="371">
        <v>46375</v>
      </c>
      <c r="R162" s="433">
        <v>46752</v>
      </c>
      <c r="S162" s="33"/>
      <c r="T162" s="3"/>
      <c r="U162" s="34" t="str">
        <f t="shared" si="25"/>
        <v>Q3 2028</v>
      </c>
    </row>
    <row r="163" spans="1:21" ht="14.4" thickBot="1">
      <c r="A163" s="35"/>
      <c r="B163" s="743" t="s">
        <v>136</v>
      </c>
      <c r="C163" s="747" t="s">
        <v>23</v>
      </c>
      <c r="D163" s="430" t="s">
        <v>184</v>
      </c>
      <c r="E163" s="431"/>
      <c r="F163" s="435"/>
      <c r="G163" s="185">
        <v>300</v>
      </c>
      <c r="H163" s="485">
        <v>0</v>
      </c>
      <c r="I163" s="487" t="s">
        <v>178</v>
      </c>
      <c r="J163" s="488">
        <v>46934</v>
      </c>
      <c r="K163" s="487" t="s">
        <v>179</v>
      </c>
      <c r="L163" s="487" t="s">
        <v>180</v>
      </c>
      <c r="M163" s="487" t="s">
        <v>181</v>
      </c>
      <c r="N163" s="487" t="s">
        <v>181</v>
      </c>
      <c r="O163" s="487" t="s">
        <v>182</v>
      </c>
      <c r="P163" s="487" t="s">
        <v>38</v>
      </c>
      <c r="Q163" s="748">
        <v>46375</v>
      </c>
      <c r="R163" s="749">
        <v>46843</v>
      </c>
      <c r="S163" s="33"/>
      <c r="T163" s="3"/>
      <c r="U163" s="34" t="str">
        <f t="shared" si="25"/>
        <v>Q4 2028</v>
      </c>
    </row>
    <row r="164" spans="1:21" ht="15" thickTop="1" thickBot="1">
      <c r="A164" s="105"/>
      <c r="B164" s="437"/>
      <c r="C164" s="438"/>
      <c r="D164" s="218"/>
      <c r="E164" s="439"/>
      <c r="F164" s="440"/>
      <c r="G164" s="440"/>
      <c r="H164" s="440"/>
      <c r="I164" s="437"/>
      <c r="J164" s="441"/>
      <c r="K164" s="437"/>
      <c r="L164" s="437"/>
      <c r="M164" s="437"/>
      <c r="N164" s="437"/>
      <c r="O164" s="437"/>
      <c r="P164" s="437"/>
      <c r="Q164" s="442"/>
      <c r="R164" s="255"/>
      <c r="S164" s="2"/>
      <c r="T164" s="3"/>
      <c r="U164" s="34"/>
    </row>
    <row r="165" spans="1:21" ht="14.4" thickBot="1">
      <c r="A165" s="443"/>
      <c r="B165" s="444"/>
      <c r="C165" s="444"/>
      <c r="D165" s="445"/>
      <c r="E165" s="446">
        <f>SUM(E5:E163)</f>
        <v>13600</v>
      </c>
      <c r="F165" s="447">
        <f>SUM(F5:F163)</f>
        <v>13247.5</v>
      </c>
      <c r="G165" s="447">
        <f>SUM(G5:G163)</f>
        <v>11982.5</v>
      </c>
      <c r="H165" s="448">
        <f>SUM(H5:H163)</f>
        <v>1721.1999999999998</v>
      </c>
      <c r="I165" s="444"/>
      <c r="J165" s="444"/>
      <c r="K165" s="444"/>
      <c r="L165" s="444"/>
      <c r="M165" s="444"/>
      <c r="N165" s="444"/>
      <c r="O165" s="444"/>
      <c r="P165" s="444"/>
      <c r="Q165" s="444"/>
      <c r="R165" s="449"/>
      <c r="S165" s="2"/>
      <c r="T165" s="3"/>
      <c r="U165" s="3"/>
    </row>
    <row r="166" spans="1:21" ht="16.8" thickBot="1">
      <c r="A166" s="18" t="s">
        <v>185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1"/>
      <c r="T166" s="12"/>
      <c r="U166" s="11"/>
    </row>
    <row r="167" spans="1:21" ht="14.85" customHeight="1" thickBot="1">
      <c r="A167" s="112">
        <v>1</v>
      </c>
      <c r="B167" s="128" t="s">
        <v>22</v>
      </c>
      <c r="C167" s="114" t="s">
        <v>186</v>
      </c>
      <c r="D167" s="115" t="s">
        <v>24</v>
      </c>
      <c r="E167" s="156">
        <v>1150</v>
      </c>
      <c r="F167" s="329">
        <v>300</v>
      </c>
      <c r="G167" s="329">
        <v>300</v>
      </c>
      <c r="H167" s="329">
        <v>0</v>
      </c>
      <c r="I167" s="331" t="s">
        <v>55</v>
      </c>
      <c r="J167" s="332">
        <v>46418</v>
      </c>
      <c r="K167" s="331" t="s">
        <v>187</v>
      </c>
      <c r="L167" s="331" t="s">
        <v>125</v>
      </c>
      <c r="M167" s="331" t="s">
        <v>188</v>
      </c>
      <c r="N167" s="331" t="s">
        <v>189</v>
      </c>
      <c r="O167" s="331" t="s">
        <v>44</v>
      </c>
      <c r="P167" s="331" t="s">
        <v>31</v>
      </c>
      <c r="Q167" s="333" t="s">
        <v>190</v>
      </c>
      <c r="R167" s="334">
        <v>46418</v>
      </c>
      <c r="S167" s="33" t="s">
        <v>147</v>
      </c>
      <c r="T167" s="3" t="s">
        <v>191</v>
      </c>
      <c r="U167" s="34" t="str">
        <f t="shared" ref="U167:U174" si="26">IF(ROUNDUP(MONTH(R167)/3,0)-1=0,_xlfn.CONCAT("Q",4," ",YEAR(R167)),_xlfn.CONCAT("Q",ROUNDUP(MONTH(R167)/3,0)-1," ",YEAR(R167)+1))</f>
        <v>Q4 2027</v>
      </c>
    </row>
    <row r="168" spans="1:21" ht="14.85" customHeight="1" thickBot="1">
      <c r="A168" s="112"/>
      <c r="B168" s="135" t="s">
        <v>22</v>
      </c>
      <c r="C168" s="23" t="s">
        <v>186</v>
      </c>
      <c r="D168" s="115"/>
      <c r="E168" s="156"/>
      <c r="F168" s="60">
        <v>300</v>
      </c>
      <c r="G168" s="351">
        <v>50</v>
      </c>
      <c r="H168" s="351">
        <v>0</v>
      </c>
      <c r="I168" s="450" t="s">
        <v>55</v>
      </c>
      <c r="J168" s="451">
        <v>46418</v>
      </c>
      <c r="K168" s="450" t="s">
        <v>187</v>
      </c>
      <c r="L168" s="450" t="s">
        <v>125</v>
      </c>
      <c r="M168" s="450" t="s">
        <v>188</v>
      </c>
      <c r="N168" s="450" t="s">
        <v>189</v>
      </c>
      <c r="O168" s="450" t="s">
        <v>44</v>
      </c>
      <c r="P168" s="450" t="s">
        <v>31</v>
      </c>
      <c r="Q168" s="452" t="s">
        <v>190</v>
      </c>
      <c r="R168" s="66">
        <v>46418</v>
      </c>
      <c r="S168" s="33" t="s">
        <v>147</v>
      </c>
      <c r="T168" s="3" t="s">
        <v>192</v>
      </c>
      <c r="U168" s="34" t="str">
        <f t="shared" si="26"/>
        <v>Q4 2027</v>
      </c>
    </row>
    <row r="169" spans="1:21" ht="14.85" customHeight="1" thickBot="1">
      <c r="A169" s="112"/>
      <c r="B169" s="135" t="s">
        <v>22</v>
      </c>
      <c r="C169" s="23" t="s">
        <v>186</v>
      </c>
      <c r="D169" s="115"/>
      <c r="E169" s="156"/>
      <c r="F169" s="85"/>
      <c r="G169" s="351">
        <v>250</v>
      </c>
      <c r="H169" s="351">
        <v>0</v>
      </c>
      <c r="I169" s="450" t="s">
        <v>55</v>
      </c>
      <c r="J169" s="451">
        <v>46418</v>
      </c>
      <c r="K169" s="450" t="s">
        <v>187</v>
      </c>
      <c r="L169" s="450" t="s">
        <v>125</v>
      </c>
      <c r="M169" s="450" t="s">
        <v>188</v>
      </c>
      <c r="N169" s="450" t="s">
        <v>189</v>
      </c>
      <c r="O169" s="450" t="s">
        <v>44</v>
      </c>
      <c r="P169" s="450" t="s">
        <v>31</v>
      </c>
      <c r="Q169" s="452" t="s">
        <v>190</v>
      </c>
      <c r="R169" s="66">
        <v>46446</v>
      </c>
      <c r="S169" s="33" t="s">
        <v>147</v>
      </c>
      <c r="T169" s="3" t="s">
        <v>192</v>
      </c>
      <c r="U169" s="34" t="str">
        <f t="shared" si="26"/>
        <v>Q4 2027</v>
      </c>
    </row>
    <row r="170" spans="1:21" ht="14.85" customHeight="1" thickBot="1">
      <c r="A170" s="112"/>
      <c r="B170" s="135" t="s">
        <v>22</v>
      </c>
      <c r="C170" s="23" t="s">
        <v>186</v>
      </c>
      <c r="D170" s="115"/>
      <c r="E170" s="156"/>
      <c r="F170" s="270">
        <v>400</v>
      </c>
      <c r="G170" s="26">
        <v>150</v>
      </c>
      <c r="H170" s="26">
        <v>0</v>
      </c>
      <c r="I170" s="28" t="s">
        <v>55</v>
      </c>
      <c r="J170" s="29">
        <v>46418</v>
      </c>
      <c r="K170" s="307" t="s">
        <v>98</v>
      </c>
      <c r="L170" s="28" t="s">
        <v>90</v>
      </c>
      <c r="M170" s="28" t="s">
        <v>193</v>
      </c>
      <c r="N170" s="28" t="s">
        <v>189</v>
      </c>
      <c r="O170" s="28" t="s">
        <v>80</v>
      </c>
      <c r="P170" s="28" t="s">
        <v>38</v>
      </c>
      <c r="Q170" s="31" t="s">
        <v>39</v>
      </c>
      <c r="R170" s="32">
        <v>45745</v>
      </c>
      <c r="S170" s="33" t="s">
        <v>93</v>
      </c>
      <c r="T170" s="3"/>
      <c r="U170" s="34" t="str">
        <f t="shared" si="26"/>
        <v>Q4 2025</v>
      </c>
    </row>
    <row r="171" spans="1:21" ht="14.85" customHeight="1" thickBot="1">
      <c r="A171" s="112"/>
      <c r="B171" s="135" t="s">
        <v>22</v>
      </c>
      <c r="C171" s="23" t="s">
        <v>186</v>
      </c>
      <c r="D171" s="115"/>
      <c r="E171" s="156"/>
      <c r="F171" s="270"/>
      <c r="G171" s="26">
        <v>125</v>
      </c>
      <c r="H171" s="26">
        <v>0</v>
      </c>
      <c r="I171" s="28" t="s">
        <v>55</v>
      </c>
      <c r="J171" s="29">
        <v>46418</v>
      </c>
      <c r="K171" s="307" t="s">
        <v>98</v>
      </c>
      <c r="L171" s="28" t="s">
        <v>90</v>
      </c>
      <c r="M171" s="28" t="s">
        <v>193</v>
      </c>
      <c r="N171" s="28" t="s">
        <v>189</v>
      </c>
      <c r="O171" s="28" t="s">
        <v>80</v>
      </c>
      <c r="P171" s="28" t="s">
        <v>38</v>
      </c>
      <c r="Q171" s="31" t="s">
        <v>39</v>
      </c>
      <c r="R171" s="32">
        <v>45808</v>
      </c>
      <c r="S171" s="33" t="s">
        <v>93</v>
      </c>
      <c r="T171" s="3"/>
      <c r="U171" s="34" t="str">
        <f t="shared" si="26"/>
        <v>Q1 2026</v>
      </c>
    </row>
    <row r="172" spans="1:21" ht="14.85" customHeight="1" thickBot="1">
      <c r="A172" s="112"/>
      <c r="B172" s="135" t="s">
        <v>22</v>
      </c>
      <c r="C172" s="23" t="s">
        <v>186</v>
      </c>
      <c r="D172" s="115"/>
      <c r="E172" s="156"/>
      <c r="F172" s="270"/>
      <c r="G172" s="26">
        <v>125</v>
      </c>
      <c r="H172" s="26">
        <v>0</v>
      </c>
      <c r="I172" s="28" t="s">
        <v>55</v>
      </c>
      <c r="J172" s="29">
        <v>46418</v>
      </c>
      <c r="K172" s="28" t="s">
        <v>82</v>
      </c>
      <c r="L172" s="28" t="s">
        <v>90</v>
      </c>
      <c r="M172" s="28" t="s">
        <v>193</v>
      </c>
      <c r="N172" s="28" t="s">
        <v>189</v>
      </c>
      <c r="O172" s="28" t="s">
        <v>80</v>
      </c>
      <c r="P172" s="28" t="s">
        <v>38</v>
      </c>
      <c r="Q172" s="31" t="s">
        <v>39</v>
      </c>
      <c r="R172" s="32">
        <v>45870</v>
      </c>
      <c r="S172" s="33" t="s">
        <v>93</v>
      </c>
      <c r="T172" s="3"/>
      <c r="U172" s="34" t="str">
        <f t="shared" si="26"/>
        <v>Q2 2026</v>
      </c>
    </row>
    <row r="173" spans="1:21" ht="14.85" customHeight="1" thickBot="1">
      <c r="A173" s="112"/>
      <c r="B173" s="135" t="s">
        <v>22</v>
      </c>
      <c r="C173" s="23" t="s">
        <v>186</v>
      </c>
      <c r="D173" s="115"/>
      <c r="E173" s="156"/>
      <c r="F173" s="270">
        <v>150</v>
      </c>
      <c r="G173" s="316">
        <v>50</v>
      </c>
      <c r="H173" s="26">
        <v>0</v>
      </c>
      <c r="I173" s="28" t="s">
        <v>55</v>
      </c>
      <c r="J173" s="29">
        <v>46418</v>
      </c>
      <c r="K173" s="28" t="s">
        <v>194</v>
      </c>
      <c r="L173" s="28" t="s">
        <v>60</v>
      </c>
      <c r="M173" s="28" t="s">
        <v>193</v>
      </c>
      <c r="N173" s="28" t="s">
        <v>189</v>
      </c>
      <c r="O173" s="28" t="s">
        <v>80</v>
      </c>
      <c r="P173" s="28" t="s">
        <v>38</v>
      </c>
      <c r="Q173" s="31" t="s">
        <v>39</v>
      </c>
      <c r="R173" s="32">
        <v>45930</v>
      </c>
      <c r="S173" s="33" t="s">
        <v>61</v>
      </c>
      <c r="T173" s="3"/>
      <c r="U173" s="34" t="str">
        <f t="shared" si="26"/>
        <v>Q2 2026</v>
      </c>
    </row>
    <row r="174" spans="1:21" ht="14.85" customHeight="1" thickBot="1">
      <c r="A174" s="112"/>
      <c r="B174" s="135" t="s">
        <v>22</v>
      </c>
      <c r="C174" s="23" t="s">
        <v>186</v>
      </c>
      <c r="D174" s="115"/>
      <c r="E174" s="156"/>
      <c r="F174" s="270"/>
      <c r="G174" s="316">
        <v>50</v>
      </c>
      <c r="H174" s="26">
        <v>0</v>
      </c>
      <c r="I174" s="28" t="s">
        <v>55</v>
      </c>
      <c r="J174" s="29">
        <v>46418</v>
      </c>
      <c r="K174" s="28" t="s">
        <v>194</v>
      </c>
      <c r="L174" s="28" t="s">
        <v>60</v>
      </c>
      <c r="M174" s="28" t="s">
        <v>193</v>
      </c>
      <c r="N174" s="28" t="s">
        <v>189</v>
      </c>
      <c r="O174" s="28" t="s">
        <v>80</v>
      </c>
      <c r="P174" s="28" t="s">
        <v>38</v>
      </c>
      <c r="Q174" s="31" t="s">
        <v>39</v>
      </c>
      <c r="R174" s="32">
        <v>45930</v>
      </c>
      <c r="S174" s="33" t="s">
        <v>61</v>
      </c>
      <c r="T174" s="3"/>
      <c r="U174" s="34" t="str">
        <f t="shared" si="26"/>
        <v>Q2 2026</v>
      </c>
    </row>
    <row r="175" spans="1:21" ht="14.85" customHeight="1" thickBot="1">
      <c r="A175" s="112"/>
      <c r="B175" s="135" t="s">
        <v>22</v>
      </c>
      <c r="C175" s="23" t="s">
        <v>186</v>
      </c>
      <c r="D175" s="115"/>
      <c r="E175" s="156"/>
      <c r="F175" s="270"/>
      <c r="G175" s="453">
        <v>0</v>
      </c>
      <c r="H175" s="37">
        <f>13*5.2</f>
        <v>67.600000000000009</v>
      </c>
      <c r="I175" s="39" t="s">
        <v>55</v>
      </c>
      <c r="J175" s="40">
        <v>46418</v>
      </c>
      <c r="K175" s="39" t="s">
        <v>194</v>
      </c>
      <c r="L175" s="39" t="s">
        <v>60</v>
      </c>
      <c r="M175" s="39" t="s">
        <v>195</v>
      </c>
      <c r="N175" s="39" t="s">
        <v>189</v>
      </c>
      <c r="O175" s="39"/>
      <c r="P175" s="39" t="s">
        <v>39</v>
      </c>
      <c r="Q175" s="42" t="s">
        <v>39</v>
      </c>
      <c r="R175" s="43">
        <v>45671</v>
      </c>
      <c r="S175" s="44" t="s">
        <v>61</v>
      </c>
      <c r="T175" s="3"/>
      <c r="U175" s="34" t="str">
        <f>IF(ROUNDUP(MONTH(R175)/3,0)-1=0,_xlfn.CONCAT("Q",4," ",YEAR(R175)),_xlfn.CONCAT("Q",ROUNDUP(MONTH(R175)/3,0)-1," ",YEAR(R175)+1))</f>
        <v>Q4 2025</v>
      </c>
    </row>
    <row r="176" spans="1:21" ht="14.85" customHeight="1" thickBot="1">
      <c r="A176" s="112"/>
      <c r="B176" s="135" t="s">
        <v>22</v>
      </c>
      <c r="C176" s="23" t="s">
        <v>186</v>
      </c>
      <c r="D176" s="115"/>
      <c r="E176" s="156"/>
      <c r="F176" s="270"/>
      <c r="G176" s="316">
        <v>0</v>
      </c>
      <c r="H176" s="26">
        <f>10*5.2</f>
        <v>52</v>
      </c>
      <c r="I176" s="28" t="s">
        <v>55</v>
      </c>
      <c r="J176" s="29">
        <v>46418</v>
      </c>
      <c r="K176" s="28" t="s">
        <v>196</v>
      </c>
      <c r="L176" s="28" t="s">
        <v>60</v>
      </c>
      <c r="M176" s="28" t="s">
        <v>195</v>
      </c>
      <c r="N176" s="28" t="s">
        <v>189</v>
      </c>
      <c r="O176" s="28"/>
      <c r="P176" s="28" t="s">
        <v>39</v>
      </c>
      <c r="Q176" s="31" t="s">
        <v>39</v>
      </c>
      <c r="R176" s="32">
        <v>45671</v>
      </c>
      <c r="S176" s="33" t="s">
        <v>61</v>
      </c>
      <c r="T176" s="3"/>
      <c r="U176" s="34" t="str">
        <f t="shared" ref="U176:U177" si="27">IF(ROUNDUP(MONTH(R176)/3,0)-1=0,_xlfn.CONCAT("Q",4," ",YEAR(R176)),_xlfn.CONCAT("Q",ROUNDUP(MONTH(R176)/3,0)-1," ",YEAR(R176)+1))</f>
        <v>Q4 2025</v>
      </c>
    </row>
    <row r="177" spans="1:21" ht="14.85" customHeight="1" thickBot="1">
      <c r="A177" s="112"/>
      <c r="B177" s="145" t="s">
        <v>22</v>
      </c>
      <c r="C177" s="68" t="s">
        <v>186</v>
      </c>
      <c r="D177" s="115"/>
      <c r="E177" s="156"/>
      <c r="F177" s="319"/>
      <c r="G177" s="750">
        <v>0</v>
      </c>
      <c r="H177" s="751">
        <f>5.2*2</f>
        <v>10.4</v>
      </c>
      <c r="I177" s="752" t="s">
        <v>55</v>
      </c>
      <c r="J177" s="753">
        <v>46418</v>
      </c>
      <c r="K177" s="752" t="s">
        <v>197</v>
      </c>
      <c r="L177" s="752" t="s">
        <v>60</v>
      </c>
      <c r="M177" s="752" t="s">
        <v>195</v>
      </c>
      <c r="N177" s="752" t="s">
        <v>189</v>
      </c>
      <c r="O177" s="752"/>
      <c r="P177" s="752" t="s">
        <v>39</v>
      </c>
      <c r="Q177" s="754" t="s">
        <v>39</v>
      </c>
      <c r="R177" s="755">
        <v>46081</v>
      </c>
      <c r="S177" s="33" t="s">
        <v>97</v>
      </c>
      <c r="T177" s="3"/>
      <c r="U177" s="34" t="str">
        <f t="shared" si="27"/>
        <v>Q4 2026</v>
      </c>
    </row>
    <row r="178" spans="1:21" ht="15" thickTop="1" thickBot="1">
      <c r="A178" s="112"/>
      <c r="B178" s="154"/>
      <c r="C178" s="219"/>
      <c r="D178" s="115"/>
      <c r="E178" s="156"/>
      <c r="F178" s="252"/>
      <c r="G178" s="252"/>
      <c r="H178" s="252"/>
      <c r="I178" s="454"/>
      <c r="J178" s="454"/>
      <c r="K178" s="454"/>
      <c r="L178" s="454"/>
      <c r="M178" s="454"/>
      <c r="N178" s="454"/>
      <c r="O178" s="454"/>
      <c r="P178" s="454"/>
      <c r="Q178" s="454"/>
      <c r="R178" s="255"/>
      <c r="S178" s="2"/>
      <c r="T178" s="3"/>
      <c r="U178" s="3"/>
    </row>
    <row r="179" spans="1:21" ht="14.4" thickBot="1">
      <c r="A179" s="112">
        <v>2</v>
      </c>
      <c r="B179" s="128" t="s">
        <v>136</v>
      </c>
      <c r="C179" s="114" t="s">
        <v>186</v>
      </c>
      <c r="D179" s="115" t="s">
        <v>24</v>
      </c>
      <c r="E179" s="156">
        <v>1250</v>
      </c>
      <c r="F179" s="432">
        <v>234</v>
      </c>
      <c r="G179" s="329">
        <v>150</v>
      </c>
      <c r="H179" s="455">
        <v>0</v>
      </c>
      <c r="I179" s="456" t="s">
        <v>55</v>
      </c>
      <c r="J179" s="457">
        <v>46418</v>
      </c>
      <c r="K179" s="456" t="s">
        <v>198</v>
      </c>
      <c r="L179" s="456" t="s">
        <v>27</v>
      </c>
      <c r="M179" s="456" t="s">
        <v>199</v>
      </c>
      <c r="N179" s="456" t="s">
        <v>200</v>
      </c>
      <c r="O179" s="456" t="s">
        <v>30</v>
      </c>
      <c r="P179" s="456" t="s">
        <v>31</v>
      </c>
      <c r="Q179" s="458" t="s">
        <v>201</v>
      </c>
      <c r="R179" s="459">
        <v>46418</v>
      </c>
      <c r="S179" s="33" t="s">
        <v>97</v>
      </c>
      <c r="T179" s="3" t="s">
        <v>192</v>
      </c>
      <c r="U179" s="34" t="str">
        <f t="shared" ref="U179:U194" si="28">IF(ROUNDUP(MONTH(R179)/3,0)-1=0,_xlfn.CONCAT("Q",4," ",YEAR(R179)),_xlfn.CONCAT("Q",ROUNDUP(MONTH(R179)/3,0)-1," ",YEAR(R179)+1))</f>
        <v>Q4 2027</v>
      </c>
    </row>
    <row r="180" spans="1:21" ht="14.4" thickBot="1">
      <c r="A180" s="112"/>
      <c r="B180" s="135" t="s">
        <v>136</v>
      </c>
      <c r="C180" s="23" t="s">
        <v>186</v>
      </c>
      <c r="D180" s="115"/>
      <c r="E180" s="156"/>
      <c r="F180" s="432"/>
      <c r="G180" s="460">
        <v>84</v>
      </c>
      <c r="H180" s="62">
        <v>0</v>
      </c>
      <c r="I180" s="63" t="s">
        <v>55</v>
      </c>
      <c r="J180" s="64">
        <v>46418</v>
      </c>
      <c r="K180" s="63" t="s">
        <v>198</v>
      </c>
      <c r="L180" s="63" t="s">
        <v>27</v>
      </c>
      <c r="M180" s="63" t="s">
        <v>199</v>
      </c>
      <c r="N180" s="63" t="s">
        <v>200</v>
      </c>
      <c r="O180" s="63" t="s">
        <v>30</v>
      </c>
      <c r="P180" s="63" t="s">
        <v>31</v>
      </c>
      <c r="Q180" s="65" t="s">
        <v>201</v>
      </c>
      <c r="R180" s="66">
        <v>46446</v>
      </c>
      <c r="S180" s="33" t="s">
        <v>97</v>
      </c>
      <c r="T180" s="3" t="s">
        <v>192</v>
      </c>
      <c r="U180" s="34" t="str">
        <f t="shared" si="28"/>
        <v>Q4 2027</v>
      </c>
    </row>
    <row r="181" spans="1:21" ht="14.4" thickBot="1">
      <c r="A181" s="112"/>
      <c r="B181" s="135" t="s">
        <v>136</v>
      </c>
      <c r="C181" s="23" t="s">
        <v>186</v>
      </c>
      <c r="D181" s="115"/>
      <c r="E181" s="156"/>
      <c r="F181" s="348">
        <v>250</v>
      </c>
      <c r="G181" s="26">
        <v>237.5</v>
      </c>
      <c r="H181" s="27">
        <v>0</v>
      </c>
      <c r="I181" s="28" t="s">
        <v>55</v>
      </c>
      <c r="J181" s="29">
        <v>46418</v>
      </c>
      <c r="K181" s="28" t="s">
        <v>56</v>
      </c>
      <c r="L181" s="28" t="s">
        <v>90</v>
      </c>
      <c r="M181" s="28" t="s">
        <v>202</v>
      </c>
      <c r="N181" s="28" t="s">
        <v>200</v>
      </c>
      <c r="O181" s="28" t="s">
        <v>44</v>
      </c>
      <c r="P181" s="28" t="s">
        <v>38</v>
      </c>
      <c r="Q181" s="31">
        <v>45966</v>
      </c>
      <c r="R181" s="32">
        <v>45838</v>
      </c>
      <c r="S181" s="33" t="s">
        <v>93</v>
      </c>
      <c r="T181" s="3"/>
      <c r="U181" s="34" t="str">
        <f t="shared" si="28"/>
        <v>Q1 2026</v>
      </c>
    </row>
    <row r="182" spans="1:21" ht="14.4" thickBot="1">
      <c r="A182" s="112"/>
      <c r="B182" s="135" t="s">
        <v>136</v>
      </c>
      <c r="C182" s="23" t="s">
        <v>186</v>
      </c>
      <c r="D182" s="115"/>
      <c r="E182" s="156"/>
      <c r="F182" s="348"/>
      <c r="G182" s="26">
        <v>12.5</v>
      </c>
      <c r="H182" s="27">
        <v>0</v>
      </c>
      <c r="I182" s="28" t="s">
        <v>55</v>
      </c>
      <c r="J182" s="29">
        <v>46418</v>
      </c>
      <c r="K182" s="28" t="s">
        <v>56</v>
      </c>
      <c r="L182" s="28" t="s">
        <v>90</v>
      </c>
      <c r="M182" s="28" t="s">
        <v>202</v>
      </c>
      <c r="N182" s="28" t="s">
        <v>200</v>
      </c>
      <c r="O182" s="28" t="s">
        <v>44</v>
      </c>
      <c r="P182" s="28" t="s">
        <v>38</v>
      </c>
      <c r="Q182" s="31">
        <v>45966</v>
      </c>
      <c r="R182" s="32">
        <v>45900</v>
      </c>
      <c r="S182" s="33" t="s">
        <v>93</v>
      </c>
      <c r="T182" s="3"/>
      <c r="U182" s="34" t="str">
        <f t="shared" si="28"/>
        <v>Q2 2026</v>
      </c>
    </row>
    <row r="183" spans="1:21" ht="14.4" thickBot="1">
      <c r="A183" s="112"/>
      <c r="B183" s="135" t="s">
        <v>136</v>
      </c>
      <c r="C183" s="23" t="s">
        <v>186</v>
      </c>
      <c r="D183" s="115"/>
      <c r="E183" s="156"/>
      <c r="F183" s="348">
        <v>250</v>
      </c>
      <c r="G183" s="26">
        <v>175</v>
      </c>
      <c r="H183" s="27">
        <v>0</v>
      </c>
      <c r="I183" s="28" t="s">
        <v>55</v>
      </c>
      <c r="J183" s="29">
        <v>46418</v>
      </c>
      <c r="K183" s="28" t="s">
        <v>56</v>
      </c>
      <c r="L183" s="28" t="s">
        <v>90</v>
      </c>
      <c r="M183" s="28" t="s">
        <v>202</v>
      </c>
      <c r="N183" s="28" t="s">
        <v>200</v>
      </c>
      <c r="O183" s="28" t="s">
        <v>44</v>
      </c>
      <c r="P183" s="28" t="s">
        <v>38</v>
      </c>
      <c r="Q183" s="31">
        <v>45966</v>
      </c>
      <c r="R183" s="32">
        <v>45900</v>
      </c>
      <c r="S183" s="33" t="s">
        <v>93</v>
      </c>
      <c r="T183" s="3"/>
      <c r="U183" s="34" t="str">
        <f t="shared" si="28"/>
        <v>Q2 2026</v>
      </c>
    </row>
    <row r="184" spans="1:21" ht="14.4" thickBot="1">
      <c r="A184" s="112"/>
      <c r="B184" s="135" t="s">
        <v>136</v>
      </c>
      <c r="C184" s="23" t="s">
        <v>186</v>
      </c>
      <c r="D184" s="115"/>
      <c r="E184" s="156"/>
      <c r="F184" s="348"/>
      <c r="G184" s="37">
        <v>75</v>
      </c>
      <c r="H184" s="38">
        <v>0</v>
      </c>
      <c r="I184" s="39" t="s">
        <v>55</v>
      </c>
      <c r="J184" s="40">
        <v>46418</v>
      </c>
      <c r="K184" s="39" t="s">
        <v>56</v>
      </c>
      <c r="L184" s="39" t="s">
        <v>90</v>
      </c>
      <c r="M184" s="39" t="s">
        <v>202</v>
      </c>
      <c r="N184" s="39" t="s">
        <v>200</v>
      </c>
      <c r="O184" s="39" t="s">
        <v>44</v>
      </c>
      <c r="P184" s="39" t="s">
        <v>38</v>
      </c>
      <c r="Q184" s="42">
        <v>45966</v>
      </c>
      <c r="R184" s="66">
        <v>46022</v>
      </c>
      <c r="S184" s="33" t="s">
        <v>93</v>
      </c>
      <c r="T184" s="3"/>
      <c r="U184" s="34" t="str">
        <f t="shared" si="28"/>
        <v>Q3 2026</v>
      </c>
    </row>
    <row r="185" spans="1:21" ht="14.4" thickBot="1">
      <c r="A185" s="112"/>
      <c r="B185" s="135" t="s">
        <v>136</v>
      </c>
      <c r="C185" s="23" t="s">
        <v>186</v>
      </c>
      <c r="D185" s="115"/>
      <c r="E185" s="156"/>
      <c r="F185" s="461">
        <v>150</v>
      </c>
      <c r="G185" s="286">
        <v>75</v>
      </c>
      <c r="H185" s="48">
        <v>0</v>
      </c>
      <c r="I185" s="49" t="s">
        <v>55</v>
      </c>
      <c r="J185" s="50">
        <v>46418</v>
      </c>
      <c r="K185" s="49" t="s">
        <v>146</v>
      </c>
      <c r="L185" s="49" t="s">
        <v>42</v>
      </c>
      <c r="M185" s="49" t="s">
        <v>203</v>
      </c>
      <c r="N185" s="49" t="s">
        <v>200</v>
      </c>
      <c r="O185" s="49" t="s">
        <v>80</v>
      </c>
      <c r="P185" s="49" t="s">
        <v>38</v>
      </c>
      <c r="Q185" s="289" t="s">
        <v>39</v>
      </c>
      <c r="R185" s="66">
        <v>46112</v>
      </c>
      <c r="S185" s="33" t="s">
        <v>204</v>
      </c>
      <c r="T185" s="3"/>
      <c r="U185" s="34" t="str">
        <f t="shared" si="28"/>
        <v>Q4 2026</v>
      </c>
    </row>
    <row r="186" spans="1:21" ht="14.4" thickBot="1">
      <c r="A186" s="112"/>
      <c r="B186" s="135" t="s">
        <v>136</v>
      </c>
      <c r="C186" s="23" t="s">
        <v>186</v>
      </c>
      <c r="D186" s="115"/>
      <c r="E186" s="156"/>
      <c r="F186" s="461"/>
      <c r="G186" s="286">
        <v>75</v>
      </c>
      <c r="H186" s="48">
        <v>0</v>
      </c>
      <c r="I186" s="49" t="s">
        <v>55</v>
      </c>
      <c r="J186" s="50">
        <v>46418</v>
      </c>
      <c r="K186" s="49" t="s">
        <v>146</v>
      </c>
      <c r="L186" s="49" t="s">
        <v>42</v>
      </c>
      <c r="M186" s="49" t="s">
        <v>203</v>
      </c>
      <c r="N186" s="49" t="s">
        <v>200</v>
      </c>
      <c r="O186" s="49" t="s">
        <v>80</v>
      </c>
      <c r="P186" s="49" t="s">
        <v>38</v>
      </c>
      <c r="Q186" s="289" t="s">
        <v>39</v>
      </c>
      <c r="R186" s="66">
        <v>46053</v>
      </c>
      <c r="S186" s="33" t="s">
        <v>204</v>
      </c>
      <c r="T186" s="3"/>
      <c r="U186" s="34" t="str">
        <f t="shared" si="28"/>
        <v>Q4 2026</v>
      </c>
    </row>
    <row r="187" spans="1:21" ht="14.4" thickBot="1">
      <c r="A187" s="112"/>
      <c r="B187" s="135" t="s">
        <v>136</v>
      </c>
      <c r="C187" s="23" t="s">
        <v>186</v>
      </c>
      <c r="D187" s="115"/>
      <c r="E187" s="156"/>
      <c r="F187" s="461">
        <v>216</v>
      </c>
      <c r="G187" s="462">
        <v>50</v>
      </c>
      <c r="H187" s="27">
        <v>0</v>
      </c>
      <c r="I187" s="28" t="s">
        <v>55</v>
      </c>
      <c r="J187" s="29">
        <v>46418</v>
      </c>
      <c r="K187" s="28" t="s">
        <v>98</v>
      </c>
      <c r="L187" s="28" t="s">
        <v>42</v>
      </c>
      <c r="M187" s="28" t="s">
        <v>203</v>
      </c>
      <c r="N187" s="28" t="s">
        <v>200</v>
      </c>
      <c r="O187" s="28" t="s">
        <v>80</v>
      </c>
      <c r="P187" s="28" t="s">
        <v>38</v>
      </c>
      <c r="Q187" s="31" t="s">
        <v>39</v>
      </c>
      <c r="R187" s="32">
        <v>45930</v>
      </c>
      <c r="S187" s="33" t="s">
        <v>204</v>
      </c>
      <c r="T187" s="3"/>
      <c r="U187" s="34" t="str">
        <f t="shared" si="28"/>
        <v>Q2 2026</v>
      </c>
    </row>
    <row r="188" spans="1:21" ht="14.4" thickBot="1">
      <c r="A188" s="112"/>
      <c r="B188" s="135" t="s">
        <v>136</v>
      </c>
      <c r="C188" s="23" t="s">
        <v>186</v>
      </c>
      <c r="D188" s="115"/>
      <c r="E188" s="156"/>
      <c r="F188" s="461"/>
      <c r="G188" s="462">
        <v>92</v>
      </c>
      <c r="H188" s="27">
        <v>0</v>
      </c>
      <c r="I188" s="28" t="s">
        <v>55</v>
      </c>
      <c r="J188" s="29">
        <v>46418</v>
      </c>
      <c r="K188" s="28" t="s">
        <v>98</v>
      </c>
      <c r="L188" s="28" t="s">
        <v>42</v>
      </c>
      <c r="M188" s="28" t="s">
        <v>203</v>
      </c>
      <c r="N188" s="28" t="s">
        <v>200</v>
      </c>
      <c r="O188" s="28" t="s">
        <v>80</v>
      </c>
      <c r="P188" s="28" t="s">
        <v>38</v>
      </c>
      <c r="Q188" s="31" t="s">
        <v>39</v>
      </c>
      <c r="R188" s="32">
        <v>46112</v>
      </c>
      <c r="S188" s="33" t="s">
        <v>204</v>
      </c>
      <c r="T188" s="3"/>
      <c r="U188" s="34" t="str">
        <f t="shared" si="28"/>
        <v>Q4 2026</v>
      </c>
    </row>
    <row r="189" spans="1:21" ht="14.4" thickBot="1">
      <c r="A189" s="112"/>
      <c r="B189" s="135" t="s">
        <v>136</v>
      </c>
      <c r="C189" s="23" t="s">
        <v>186</v>
      </c>
      <c r="D189" s="115"/>
      <c r="E189" s="156"/>
      <c r="F189" s="461"/>
      <c r="G189" s="462">
        <v>0</v>
      </c>
      <c r="H189" s="27">
        <v>119.6</v>
      </c>
      <c r="I189" s="28" t="s">
        <v>55</v>
      </c>
      <c r="J189" s="29">
        <v>46418</v>
      </c>
      <c r="K189" s="28" t="s">
        <v>148</v>
      </c>
      <c r="L189" s="28" t="s">
        <v>42</v>
      </c>
      <c r="M189" s="28" t="s">
        <v>205</v>
      </c>
      <c r="N189" s="28" t="s">
        <v>200</v>
      </c>
      <c r="O189" s="28"/>
      <c r="P189" s="28" t="s">
        <v>39</v>
      </c>
      <c r="Q189" s="31" t="s">
        <v>39</v>
      </c>
      <c r="R189" s="32">
        <v>45838</v>
      </c>
      <c r="S189" s="33" t="s">
        <v>204</v>
      </c>
      <c r="U189" s="34" t="str">
        <f t="shared" si="28"/>
        <v>Q1 2026</v>
      </c>
    </row>
    <row r="190" spans="1:21" ht="14.4" thickBot="1">
      <c r="A190" s="112"/>
      <c r="B190" s="135" t="s">
        <v>136</v>
      </c>
      <c r="C190" s="23" t="s">
        <v>186</v>
      </c>
      <c r="D190" s="115"/>
      <c r="E190" s="156"/>
      <c r="F190" s="461"/>
      <c r="G190" s="462">
        <v>0</v>
      </c>
      <c r="H190" s="27">
        <f>5.2*5</f>
        <v>26</v>
      </c>
      <c r="I190" s="28" t="s">
        <v>55</v>
      </c>
      <c r="J190" s="29">
        <v>46418</v>
      </c>
      <c r="K190" s="28" t="s">
        <v>148</v>
      </c>
      <c r="L190" s="28" t="s">
        <v>42</v>
      </c>
      <c r="M190" s="28" t="s">
        <v>205</v>
      </c>
      <c r="N190" s="28" t="s">
        <v>200</v>
      </c>
      <c r="O190" s="28"/>
      <c r="P190" s="28" t="s">
        <v>39</v>
      </c>
      <c r="Q190" s="31" t="s">
        <v>39</v>
      </c>
      <c r="R190" s="32">
        <v>45869</v>
      </c>
      <c r="S190" s="33" t="s">
        <v>204</v>
      </c>
      <c r="T190" s="3"/>
      <c r="U190" s="34" t="str">
        <f t="shared" si="28"/>
        <v>Q2 2026</v>
      </c>
    </row>
    <row r="191" spans="1:21" ht="14.4" thickBot="1">
      <c r="A191" s="112"/>
      <c r="B191" s="135" t="s">
        <v>136</v>
      </c>
      <c r="C191" s="23" t="s">
        <v>186</v>
      </c>
      <c r="D191" s="115"/>
      <c r="E191" s="156"/>
      <c r="F191" s="461"/>
      <c r="G191" s="142">
        <v>0</v>
      </c>
      <c r="H191" s="47">
        <f>5.2*2</f>
        <v>10.4</v>
      </c>
      <c r="I191" s="49" t="s">
        <v>55</v>
      </c>
      <c r="J191" s="50">
        <v>46418</v>
      </c>
      <c r="K191" s="49" t="s">
        <v>148</v>
      </c>
      <c r="L191" s="49" t="s">
        <v>42</v>
      </c>
      <c r="M191" s="49" t="s">
        <v>205</v>
      </c>
      <c r="N191" s="49" t="s">
        <v>200</v>
      </c>
      <c r="O191" s="49"/>
      <c r="P191" s="49" t="s">
        <v>39</v>
      </c>
      <c r="Q191" s="52" t="s">
        <v>39</v>
      </c>
      <c r="R191" s="66">
        <v>46112</v>
      </c>
      <c r="S191" s="33" t="s">
        <v>204</v>
      </c>
      <c r="T191" s="3"/>
      <c r="U191" s="34" t="str">
        <f t="shared" si="28"/>
        <v>Q4 2026</v>
      </c>
    </row>
    <row r="192" spans="1:21" ht="14.4" thickBot="1">
      <c r="A192" s="112"/>
      <c r="B192" s="135" t="s">
        <v>136</v>
      </c>
      <c r="C192" s="23" t="s">
        <v>186</v>
      </c>
      <c r="D192" s="115"/>
      <c r="E192" s="156"/>
      <c r="F192" s="463">
        <v>150</v>
      </c>
      <c r="G192" s="464">
        <v>50</v>
      </c>
      <c r="H192" s="38">
        <v>0</v>
      </c>
      <c r="I192" s="39" t="s">
        <v>55</v>
      </c>
      <c r="J192" s="40">
        <v>46418</v>
      </c>
      <c r="K192" s="39" t="s">
        <v>146</v>
      </c>
      <c r="L192" s="39" t="s">
        <v>48</v>
      </c>
      <c r="M192" s="39" t="s">
        <v>203</v>
      </c>
      <c r="N192" s="39" t="s">
        <v>200</v>
      </c>
      <c r="O192" s="39" t="s">
        <v>80</v>
      </c>
      <c r="P192" s="39" t="s">
        <v>38</v>
      </c>
      <c r="Q192" s="42" t="s">
        <v>39</v>
      </c>
      <c r="R192" s="465">
        <v>46053</v>
      </c>
      <c r="S192" s="33" t="s">
        <v>83</v>
      </c>
      <c r="T192" s="3"/>
      <c r="U192" s="34" t="str">
        <f t="shared" si="28"/>
        <v>Q4 2026</v>
      </c>
    </row>
    <row r="193" spans="1:21" ht="14.4" thickBot="1">
      <c r="A193" s="112"/>
      <c r="B193" s="135" t="s">
        <v>136</v>
      </c>
      <c r="C193" s="23" t="s">
        <v>186</v>
      </c>
      <c r="D193" s="115"/>
      <c r="E193" s="156"/>
      <c r="F193" s="463"/>
      <c r="G193" s="464">
        <v>50</v>
      </c>
      <c r="H193" s="38">
        <v>0</v>
      </c>
      <c r="I193" s="39" t="s">
        <v>55</v>
      </c>
      <c r="J193" s="40">
        <v>46418</v>
      </c>
      <c r="K193" s="39" t="s">
        <v>146</v>
      </c>
      <c r="L193" s="39" t="s">
        <v>48</v>
      </c>
      <c r="M193" s="39" t="s">
        <v>203</v>
      </c>
      <c r="N193" s="39" t="s">
        <v>200</v>
      </c>
      <c r="O193" s="39" t="s">
        <v>80</v>
      </c>
      <c r="P193" s="39" t="s">
        <v>38</v>
      </c>
      <c r="Q193" s="42" t="s">
        <v>39</v>
      </c>
      <c r="R193" s="465">
        <v>46112</v>
      </c>
      <c r="S193" s="33" t="s">
        <v>83</v>
      </c>
      <c r="T193" s="3"/>
      <c r="U193" s="34" t="str">
        <f t="shared" si="28"/>
        <v>Q4 2026</v>
      </c>
    </row>
    <row r="194" spans="1:21" ht="14.4" thickBot="1">
      <c r="A194" s="112"/>
      <c r="B194" s="145" t="s">
        <v>136</v>
      </c>
      <c r="C194" s="68" t="s">
        <v>186</v>
      </c>
      <c r="D194" s="115"/>
      <c r="E194" s="156"/>
      <c r="F194" s="292"/>
      <c r="G194" s="466">
        <v>50</v>
      </c>
      <c r="H194" s="272">
        <v>0</v>
      </c>
      <c r="I194" s="149" t="s">
        <v>55</v>
      </c>
      <c r="J194" s="150">
        <v>46418</v>
      </c>
      <c r="K194" s="149" t="s">
        <v>146</v>
      </c>
      <c r="L194" s="149" t="s">
        <v>48</v>
      </c>
      <c r="M194" s="149" t="s">
        <v>203</v>
      </c>
      <c r="N194" s="149" t="s">
        <v>200</v>
      </c>
      <c r="O194" s="149" t="s">
        <v>80</v>
      </c>
      <c r="P194" s="149" t="s">
        <v>38</v>
      </c>
      <c r="Q194" s="151" t="s">
        <v>39</v>
      </c>
      <c r="R194" s="216">
        <v>46142</v>
      </c>
      <c r="S194" s="33" t="s">
        <v>83</v>
      </c>
      <c r="T194" s="3"/>
      <c r="U194" s="34" t="str">
        <f t="shared" si="28"/>
        <v>Q1 2027</v>
      </c>
    </row>
    <row r="195" spans="1:21" ht="15" thickTop="1" thickBot="1">
      <c r="A195" s="112"/>
      <c r="B195" s="154"/>
      <c r="C195" s="219"/>
      <c r="D195" s="115"/>
      <c r="E195" s="156"/>
      <c r="F195" s="323"/>
      <c r="G195" s="323"/>
      <c r="H195" s="323"/>
      <c r="I195" s="324"/>
      <c r="J195" s="324"/>
      <c r="K195" s="324"/>
      <c r="L195" s="324"/>
      <c r="M195" s="324"/>
      <c r="N195" s="324"/>
      <c r="O195" s="324"/>
      <c r="P195" s="324"/>
      <c r="Q195" s="324"/>
      <c r="R195" s="325"/>
      <c r="S195" s="2"/>
      <c r="T195" s="3"/>
      <c r="U195" s="3"/>
    </row>
    <row r="196" spans="1:21" ht="14.4" thickBot="1">
      <c r="A196" s="112">
        <v>3</v>
      </c>
      <c r="B196" s="128" t="s">
        <v>136</v>
      </c>
      <c r="C196" s="114" t="s">
        <v>186</v>
      </c>
      <c r="D196" s="115" t="s">
        <v>24</v>
      </c>
      <c r="E196" s="156">
        <v>1250</v>
      </c>
      <c r="F196" s="467">
        <v>200</v>
      </c>
      <c r="G196" s="467">
        <f>F196</f>
        <v>200</v>
      </c>
      <c r="H196" s="468">
        <v>0</v>
      </c>
      <c r="I196" s="469" t="s">
        <v>178</v>
      </c>
      <c r="J196" s="470">
        <v>46934</v>
      </c>
      <c r="K196" s="469" t="s">
        <v>161</v>
      </c>
      <c r="L196" s="469" t="s">
        <v>109</v>
      </c>
      <c r="M196" s="469" t="s">
        <v>206</v>
      </c>
      <c r="N196" s="469" t="s">
        <v>207</v>
      </c>
      <c r="O196" s="469" t="s">
        <v>80</v>
      </c>
      <c r="P196" s="469" t="s">
        <v>38</v>
      </c>
      <c r="Q196" s="471">
        <v>46506</v>
      </c>
      <c r="R196" s="472">
        <v>46752</v>
      </c>
      <c r="S196" s="59" t="s">
        <v>163</v>
      </c>
      <c r="T196" s="3" t="s">
        <v>46</v>
      </c>
      <c r="U196" s="34" t="str">
        <f t="shared" ref="U196:U205" si="29">IF(ROUNDUP(MONTH(R196)/3,0)-1=0,_xlfn.CONCAT("Q",4," ",YEAR(R196)),_xlfn.CONCAT("Q",ROUNDUP(MONTH(R196)/3,0)-1," ",YEAR(R196)+1))</f>
        <v>Q3 2028</v>
      </c>
    </row>
    <row r="197" spans="1:21" ht="14.4" thickBot="1">
      <c r="A197" s="112"/>
      <c r="B197" s="135" t="s">
        <v>136</v>
      </c>
      <c r="C197" s="23" t="s">
        <v>186</v>
      </c>
      <c r="D197" s="115"/>
      <c r="E197" s="156"/>
      <c r="F197" s="473">
        <v>100</v>
      </c>
      <c r="G197" s="434">
        <f>F197</f>
        <v>100</v>
      </c>
      <c r="H197" s="473">
        <v>0</v>
      </c>
      <c r="I197" s="14" t="s">
        <v>178</v>
      </c>
      <c r="J197" s="474">
        <v>46934</v>
      </c>
      <c r="K197" s="175" t="s">
        <v>208</v>
      </c>
      <c r="L197" s="14" t="s">
        <v>209</v>
      </c>
      <c r="M197" s="14" t="s">
        <v>206</v>
      </c>
      <c r="N197" s="14" t="s">
        <v>207</v>
      </c>
      <c r="O197" s="14" t="s">
        <v>37</v>
      </c>
      <c r="P197" s="14" t="s">
        <v>38</v>
      </c>
      <c r="Q197" s="475" t="s">
        <v>39</v>
      </c>
      <c r="R197" s="476">
        <v>46843</v>
      </c>
      <c r="S197" s="44"/>
      <c r="T197" s="3" t="s">
        <v>46</v>
      </c>
      <c r="U197" s="34" t="str">
        <f t="shared" si="29"/>
        <v>Q4 2028</v>
      </c>
    </row>
    <row r="198" spans="1:21" ht="14.4" thickBot="1">
      <c r="A198" s="112"/>
      <c r="B198" s="135" t="s">
        <v>136</v>
      </c>
      <c r="C198" s="23" t="s">
        <v>186</v>
      </c>
      <c r="D198" s="115"/>
      <c r="E198" s="156"/>
      <c r="F198" s="473">
        <v>200</v>
      </c>
      <c r="G198" s="434">
        <f>F198</f>
        <v>200</v>
      </c>
      <c r="H198" s="473">
        <v>0</v>
      </c>
      <c r="I198" s="14" t="s">
        <v>178</v>
      </c>
      <c r="J198" s="474">
        <v>46934</v>
      </c>
      <c r="K198" s="175" t="s">
        <v>208</v>
      </c>
      <c r="L198" s="175" t="s">
        <v>209</v>
      </c>
      <c r="M198" s="14" t="s">
        <v>206</v>
      </c>
      <c r="N198" s="14" t="s">
        <v>207</v>
      </c>
      <c r="O198" s="14" t="s">
        <v>37</v>
      </c>
      <c r="P198" s="14" t="s">
        <v>38</v>
      </c>
      <c r="Q198" s="475" t="s">
        <v>39</v>
      </c>
      <c r="R198" s="476">
        <v>46843</v>
      </c>
      <c r="S198" s="44"/>
      <c r="T198" s="3" t="s">
        <v>46</v>
      </c>
      <c r="U198" s="34" t="str">
        <f t="shared" si="29"/>
        <v>Q4 2028</v>
      </c>
    </row>
    <row r="199" spans="1:21" ht="14.4" thickBot="1">
      <c r="A199" s="112"/>
      <c r="B199" s="135" t="s">
        <v>136</v>
      </c>
      <c r="C199" s="23" t="s">
        <v>186</v>
      </c>
      <c r="D199" s="115"/>
      <c r="E199" s="156"/>
      <c r="F199" s="170">
        <v>150</v>
      </c>
      <c r="G199" s="170">
        <f>F199</f>
        <v>150</v>
      </c>
      <c r="H199" s="477">
        <v>0</v>
      </c>
      <c r="I199" s="175" t="s">
        <v>178</v>
      </c>
      <c r="J199" s="180">
        <v>46934</v>
      </c>
      <c r="K199" s="175" t="s">
        <v>208</v>
      </c>
      <c r="L199" s="175" t="s">
        <v>209</v>
      </c>
      <c r="M199" s="175" t="s">
        <v>206</v>
      </c>
      <c r="N199" s="175" t="s">
        <v>207</v>
      </c>
      <c r="O199" s="175" t="s">
        <v>37</v>
      </c>
      <c r="P199" s="175" t="s">
        <v>38</v>
      </c>
      <c r="Q199" s="177" t="s">
        <v>39</v>
      </c>
      <c r="R199" s="476">
        <v>46843</v>
      </c>
      <c r="S199" s="33"/>
      <c r="T199" s="3" t="s">
        <v>46</v>
      </c>
      <c r="U199" s="34" t="str">
        <f t="shared" si="29"/>
        <v>Q4 2028</v>
      </c>
    </row>
    <row r="200" spans="1:21" ht="14.4" thickBot="1">
      <c r="A200" s="112"/>
      <c r="B200" s="135" t="s">
        <v>136</v>
      </c>
      <c r="C200" s="23" t="s">
        <v>186</v>
      </c>
      <c r="D200" s="115"/>
      <c r="E200" s="156"/>
      <c r="F200" s="270">
        <v>185</v>
      </c>
      <c r="G200" s="26">
        <v>0</v>
      </c>
      <c r="H200" s="26">
        <f>20*5.2</f>
        <v>104</v>
      </c>
      <c r="I200" s="28" t="s">
        <v>178</v>
      </c>
      <c r="J200" s="29">
        <v>46934</v>
      </c>
      <c r="K200" s="30" t="s">
        <v>114</v>
      </c>
      <c r="L200" s="28" t="s">
        <v>122</v>
      </c>
      <c r="M200" s="28" t="s">
        <v>210</v>
      </c>
      <c r="N200" s="28" t="s">
        <v>207</v>
      </c>
      <c r="O200" s="28" t="s">
        <v>39</v>
      </c>
      <c r="P200" s="28" t="s">
        <v>39</v>
      </c>
      <c r="Q200" s="28" t="s">
        <v>39</v>
      </c>
      <c r="R200" s="32">
        <v>46081</v>
      </c>
      <c r="S200" s="33" t="s">
        <v>123</v>
      </c>
      <c r="T200" s="3"/>
      <c r="U200" s="34" t="str">
        <f t="shared" si="29"/>
        <v>Q4 2026</v>
      </c>
    </row>
    <row r="201" spans="1:21" ht="14.4" thickBot="1">
      <c r="A201" s="112"/>
      <c r="B201" s="135" t="s">
        <v>136</v>
      </c>
      <c r="C201" s="23" t="s">
        <v>186</v>
      </c>
      <c r="D201" s="115"/>
      <c r="E201" s="156"/>
      <c r="F201" s="270"/>
      <c r="G201" s="26">
        <v>0</v>
      </c>
      <c r="H201" s="26">
        <f>10*5.2</f>
        <v>52</v>
      </c>
      <c r="I201" s="28" t="s">
        <v>178</v>
      </c>
      <c r="J201" s="29">
        <v>46934</v>
      </c>
      <c r="K201" s="28" t="s">
        <v>114</v>
      </c>
      <c r="L201" s="28" t="s">
        <v>122</v>
      </c>
      <c r="M201" s="28" t="s">
        <v>210</v>
      </c>
      <c r="N201" s="28" t="s">
        <v>207</v>
      </c>
      <c r="O201" s="28" t="s">
        <v>39</v>
      </c>
      <c r="P201" s="28" t="s">
        <v>39</v>
      </c>
      <c r="Q201" s="28" t="s">
        <v>39</v>
      </c>
      <c r="R201" s="32">
        <v>46081</v>
      </c>
      <c r="S201" s="33" t="s">
        <v>123</v>
      </c>
      <c r="T201" s="3"/>
      <c r="U201" s="34" t="str">
        <f t="shared" si="29"/>
        <v>Q4 2026</v>
      </c>
    </row>
    <row r="202" spans="1:21" ht="14.4" thickBot="1">
      <c r="A202" s="112"/>
      <c r="B202" s="135" t="s">
        <v>136</v>
      </c>
      <c r="C202" s="23" t="s">
        <v>186</v>
      </c>
      <c r="D202" s="115"/>
      <c r="E202" s="156"/>
      <c r="F202" s="270"/>
      <c r="G202" s="26">
        <v>0</v>
      </c>
      <c r="H202" s="26">
        <f>6*5.2</f>
        <v>31.200000000000003</v>
      </c>
      <c r="I202" s="28" t="s">
        <v>178</v>
      </c>
      <c r="J202" s="29">
        <v>46934</v>
      </c>
      <c r="K202" s="28" t="s">
        <v>114</v>
      </c>
      <c r="L202" s="28" t="s">
        <v>122</v>
      </c>
      <c r="M202" s="28" t="s">
        <v>210</v>
      </c>
      <c r="N202" s="28" t="s">
        <v>207</v>
      </c>
      <c r="O202" s="28" t="s">
        <v>39</v>
      </c>
      <c r="P202" s="28" t="s">
        <v>39</v>
      </c>
      <c r="Q202" s="28" t="s">
        <v>39</v>
      </c>
      <c r="R202" s="32">
        <v>46081</v>
      </c>
      <c r="S202" s="33" t="s">
        <v>123</v>
      </c>
      <c r="T202" s="3"/>
      <c r="U202" s="34" t="str">
        <f t="shared" si="29"/>
        <v>Q4 2026</v>
      </c>
    </row>
    <row r="203" spans="1:21" ht="14.4" thickBot="1">
      <c r="A203" s="112"/>
      <c r="B203" s="135" t="s">
        <v>136</v>
      </c>
      <c r="C203" s="23" t="s">
        <v>186</v>
      </c>
      <c r="D203" s="115"/>
      <c r="E203" s="156"/>
      <c r="F203" s="478">
        <v>100</v>
      </c>
      <c r="G203" s="479">
        <f>F203</f>
        <v>100</v>
      </c>
      <c r="H203" s="479">
        <v>0</v>
      </c>
      <c r="I203" s="480" t="s">
        <v>178</v>
      </c>
      <c r="J203" s="481">
        <v>46934</v>
      </c>
      <c r="K203" s="480" t="s">
        <v>161</v>
      </c>
      <c r="L203" s="480" t="s">
        <v>109</v>
      </c>
      <c r="M203" s="480" t="s">
        <v>211</v>
      </c>
      <c r="N203" s="480" t="s">
        <v>207</v>
      </c>
      <c r="O203" s="480" t="s">
        <v>37</v>
      </c>
      <c r="P203" s="480" t="s">
        <v>38</v>
      </c>
      <c r="Q203" s="480" t="s">
        <v>39</v>
      </c>
      <c r="R203" s="482">
        <v>46843</v>
      </c>
      <c r="S203" s="44"/>
      <c r="T203" s="309" t="s">
        <v>192</v>
      </c>
      <c r="U203" s="34" t="str">
        <f t="shared" si="29"/>
        <v>Q4 2028</v>
      </c>
    </row>
    <row r="204" spans="1:21" ht="14.4" thickBot="1">
      <c r="A204" s="112"/>
      <c r="B204" s="135" t="s">
        <v>136</v>
      </c>
      <c r="C204" s="23" t="s">
        <v>186</v>
      </c>
      <c r="D204" s="115"/>
      <c r="E204" s="156"/>
      <c r="F204" s="479">
        <v>68.5</v>
      </c>
      <c r="G204" s="479">
        <f>F204</f>
        <v>68.5</v>
      </c>
      <c r="H204" s="479">
        <v>0</v>
      </c>
      <c r="I204" s="480" t="s">
        <v>178</v>
      </c>
      <c r="J204" s="481">
        <v>46934</v>
      </c>
      <c r="K204" s="480" t="s">
        <v>161</v>
      </c>
      <c r="L204" s="480" t="s">
        <v>109</v>
      </c>
      <c r="M204" s="480" t="s">
        <v>211</v>
      </c>
      <c r="N204" s="480" t="s">
        <v>207</v>
      </c>
      <c r="O204" s="480" t="s">
        <v>80</v>
      </c>
      <c r="P204" s="483" t="s">
        <v>38</v>
      </c>
      <c r="Q204" s="484">
        <v>46506</v>
      </c>
      <c r="R204" s="482">
        <v>46843</v>
      </c>
      <c r="S204" s="59" t="s">
        <v>163</v>
      </c>
      <c r="T204" s="309" t="s">
        <v>192</v>
      </c>
      <c r="U204" s="34" t="str">
        <f t="shared" si="29"/>
        <v>Q4 2028</v>
      </c>
    </row>
    <row r="205" spans="1:21" ht="14.4" thickBot="1">
      <c r="A205" s="112"/>
      <c r="B205" s="145" t="s">
        <v>136</v>
      </c>
      <c r="C205" s="68" t="s">
        <v>186</v>
      </c>
      <c r="D205" s="115"/>
      <c r="E205" s="156"/>
      <c r="F205" s="485">
        <v>112.5</v>
      </c>
      <c r="G205" s="485">
        <f>F205</f>
        <v>112.5</v>
      </c>
      <c r="H205" s="486">
        <v>0</v>
      </c>
      <c r="I205" s="487" t="s">
        <v>178</v>
      </c>
      <c r="J205" s="488">
        <v>46934</v>
      </c>
      <c r="K205" s="487" t="s">
        <v>143</v>
      </c>
      <c r="L205" s="487" t="s">
        <v>213</v>
      </c>
      <c r="M205" s="487" t="s">
        <v>214</v>
      </c>
      <c r="N205" s="487" t="s">
        <v>207</v>
      </c>
      <c r="O205" s="487" t="s">
        <v>37</v>
      </c>
      <c r="P205" s="487" t="s">
        <v>38</v>
      </c>
      <c r="Q205" s="489" t="s">
        <v>39</v>
      </c>
      <c r="R205" s="490">
        <v>46843</v>
      </c>
      <c r="S205" s="33"/>
      <c r="T205" s="309" t="s">
        <v>192</v>
      </c>
      <c r="U205" s="34" t="str">
        <f t="shared" si="29"/>
        <v>Q4 2028</v>
      </c>
    </row>
    <row r="206" spans="1:21" ht="15" thickTop="1" thickBot="1">
      <c r="A206" s="112"/>
      <c r="B206" s="135"/>
      <c r="C206" s="23"/>
      <c r="D206" s="115"/>
      <c r="E206" s="156"/>
      <c r="F206" s="323"/>
      <c r="G206" s="77"/>
      <c r="H206" s="77"/>
      <c r="I206" s="78"/>
      <c r="J206" s="78"/>
      <c r="K206" s="78"/>
      <c r="L206" s="78"/>
      <c r="M206" s="78"/>
      <c r="N206" s="78"/>
      <c r="O206" s="78"/>
      <c r="P206" s="78"/>
      <c r="Q206" s="78"/>
      <c r="R206" s="491"/>
      <c r="S206" s="2"/>
      <c r="T206" s="3"/>
      <c r="U206" s="3"/>
    </row>
    <row r="207" spans="1:21" ht="14.4" thickBot="1">
      <c r="A207" s="112">
        <v>4</v>
      </c>
      <c r="B207" s="128" t="s">
        <v>136</v>
      </c>
      <c r="C207" s="114" t="s">
        <v>186</v>
      </c>
      <c r="D207" s="115" t="s">
        <v>24</v>
      </c>
      <c r="E207" s="156">
        <v>1100</v>
      </c>
      <c r="F207" s="492">
        <v>300</v>
      </c>
      <c r="G207" s="329">
        <v>100</v>
      </c>
      <c r="H207" s="493">
        <v>0</v>
      </c>
      <c r="I207" s="456" t="s">
        <v>55</v>
      </c>
      <c r="J207" s="457">
        <v>46695</v>
      </c>
      <c r="K207" s="331" t="s">
        <v>108</v>
      </c>
      <c r="L207" s="331" t="s">
        <v>109</v>
      </c>
      <c r="M207" s="456" t="s">
        <v>215</v>
      </c>
      <c r="N207" s="456" t="s">
        <v>216</v>
      </c>
      <c r="O207" s="456" t="s">
        <v>80</v>
      </c>
      <c r="P207" s="456" t="s">
        <v>38</v>
      </c>
      <c r="Q207" s="494">
        <v>46141</v>
      </c>
      <c r="R207" s="334">
        <v>46418</v>
      </c>
      <c r="S207" s="44" t="s">
        <v>75</v>
      </c>
      <c r="T207" s="3" t="s">
        <v>170</v>
      </c>
      <c r="U207" s="34" t="str">
        <f t="shared" ref="U207:U217" si="30">IF(ROUNDUP(MONTH(R207)/3,0)-1=0,_xlfn.CONCAT("Q",4," ",YEAR(R207)),_xlfn.CONCAT("Q",ROUNDUP(MONTH(R207)/3,0)-1," ",YEAR(R207)+1))</f>
        <v>Q4 2027</v>
      </c>
    </row>
    <row r="208" spans="1:21" ht="14.4" thickBot="1">
      <c r="A208" s="112"/>
      <c r="B208" s="135" t="s">
        <v>136</v>
      </c>
      <c r="C208" s="23" t="s">
        <v>186</v>
      </c>
      <c r="D208" s="115"/>
      <c r="E208" s="156"/>
      <c r="F208" s="492"/>
      <c r="G208" s="351">
        <v>200</v>
      </c>
      <c r="H208" s="61">
        <v>0</v>
      </c>
      <c r="I208" s="63" t="s">
        <v>55</v>
      </c>
      <c r="J208" s="64">
        <v>46695</v>
      </c>
      <c r="K208" s="63" t="s">
        <v>159</v>
      </c>
      <c r="L208" s="204" t="s">
        <v>109</v>
      </c>
      <c r="M208" s="204" t="s">
        <v>215</v>
      </c>
      <c r="N208" s="63" t="s">
        <v>216</v>
      </c>
      <c r="O208" s="63" t="s">
        <v>80</v>
      </c>
      <c r="P208" s="63" t="s">
        <v>38</v>
      </c>
      <c r="Q208" s="311">
        <v>46324</v>
      </c>
      <c r="R208" s="66">
        <v>46446</v>
      </c>
      <c r="S208" s="44" t="s">
        <v>75</v>
      </c>
      <c r="T208" s="3" t="s">
        <v>170</v>
      </c>
      <c r="U208" s="34" t="str">
        <f t="shared" si="30"/>
        <v>Q4 2027</v>
      </c>
    </row>
    <row r="209" spans="1:21" ht="14.4" thickBot="1">
      <c r="A209" s="112"/>
      <c r="B209" s="135" t="s">
        <v>136</v>
      </c>
      <c r="C209" s="23" t="s">
        <v>186</v>
      </c>
      <c r="D209" s="115"/>
      <c r="E209" s="156"/>
      <c r="F209" s="61">
        <v>75</v>
      </c>
      <c r="G209" s="61">
        <f>F209</f>
        <v>75</v>
      </c>
      <c r="H209" s="495">
        <v>0</v>
      </c>
      <c r="I209" s="204" t="s">
        <v>55</v>
      </c>
      <c r="J209" s="496">
        <v>46695</v>
      </c>
      <c r="K209" s="63" t="s">
        <v>85</v>
      </c>
      <c r="L209" s="63" t="s">
        <v>171</v>
      </c>
      <c r="M209" s="204" t="s">
        <v>215</v>
      </c>
      <c r="N209" s="204" t="s">
        <v>216</v>
      </c>
      <c r="O209" s="204" t="s">
        <v>37</v>
      </c>
      <c r="P209" s="204" t="s">
        <v>38</v>
      </c>
      <c r="Q209" s="205" t="s">
        <v>39</v>
      </c>
      <c r="R209" s="66">
        <v>46477</v>
      </c>
      <c r="S209" s="59" t="s">
        <v>163</v>
      </c>
      <c r="T209" s="3" t="s">
        <v>170</v>
      </c>
      <c r="U209" s="34" t="str">
        <f t="shared" si="30"/>
        <v>Q4 2027</v>
      </c>
    </row>
    <row r="210" spans="1:21" ht="14.4" thickBot="1">
      <c r="A210" s="112"/>
      <c r="B210" s="135" t="s">
        <v>136</v>
      </c>
      <c r="C210" s="23" t="s">
        <v>186</v>
      </c>
      <c r="D210" s="115"/>
      <c r="E210" s="156"/>
      <c r="F210" s="61">
        <v>112.5</v>
      </c>
      <c r="G210" s="351">
        <v>112.5</v>
      </c>
      <c r="H210" s="61">
        <v>0</v>
      </c>
      <c r="I210" s="63" t="s">
        <v>55</v>
      </c>
      <c r="J210" s="64">
        <v>46695</v>
      </c>
      <c r="K210" s="63" t="s">
        <v>161</v>
      </c>
      <c r="L210" s="204" t="s">
        <v>109</v>
      </c>
      <c r="M210" s="63" t="s">
        <v>217</v>
      </c>
      <c r="N210" s="63" t="s">
        <v>216</v>
      </c>
      <c r="O210" s="63" t="s">
        <v>80</v>
      </c>
      <c r="P210" s="63" t="s">
        <v>38</v>
      </c>
      <c r="Q210" s="311">
        <v>46506</v>
      </c>
      <c r="R210" s="66">
        <v>46446</v>
      </c>
      <c r="S210" s="169" t="s">
        <v>163</v>
      </c>
      <c r="T210" s="3" t="s">
        <v>170</v>
      </c>
      <c r="U210" s="34" t="str">
        <f t="shared" si="30"/>
        <v>Q4 2027</v>
      </c>
    </row>
    <row r="211" spans="1:21" ht="14.4" thickBot="1">
      <c r="A211" s="112"/>
      <c r="B211" s="135" t="s">
        <v>136</v>
      </c>
      <c r="C211" s="23" t="s">
        <v>186</v>
      </c>
      <c r="D211" s="115"/>
      <c r="E211" s="156"/>
      <c r="F211" s="497">
        <v>175</v>
      </c>
      <c r="G211" s="498">
        <v>75</v>
      </c>
      <c r="H211" s="495">
        <v>0</v>
      </c>
      <c r="I211" s="204" t="s">
        <v>55</v>
      </c>
      <c r="J211" s="496">
        <v>46695</v>
      </c>
      <c r="K211" s="499" t="s">
        <v>108</v>
      </c>
      <c r="L211" s="63" t="s">
        <v>109</v>
      </c>
      <c r="M211" s="204" t="s">
        <v>218</v>
      </c>
      <c r="N211" s="204" t="s">
        <v>216</v>
      </c>
      <c r="O211" s="204" t="s">
        <v>80</v>
      </c>
      <c r="P211" s="204" t="s">
        <v>38</v>
      </c>
      <c r="Q211" s="205">
        <v>46141</v>
      </c>
      <c r="R211" s="66">
        <v>46418</v>
      </c>
      <c r="S211" s="44" t="s">
        <v>75</v>
      </c>
      <c r="T211" s="3" t="s">
        <v>170</v>
      </c>
      <c r="U211" s="34" t="str">
        <f t="shared" si="30"/>
        <v>Q4 2027</v>
      </c>
    </row>
    <row r="212" spans="1:21" ht="14.4" thickBot="1">
      <c r="A212" s="112"/>
      <c r="B212" s="135" t="s">
        <v>136</v>
      </c>
      <c r="C212" s="23" t="s">
        <v>186</v>
      </c>
      <c r="D212" s="115"/>
      <c r="E212" s="156"/>
      <c r="F212" s="500"/>
      <c r="G212" s="498">
        <v>100</v>
      </c>
      <c r="H212" s="495">
        <v>0</v>
      </c>
      <c r="I212" s="204" t="s">
        <v>55</v>
      </c>
      <c r="J212" s="496">
        <v>46695</v>
      </c>
      <c r="K212" s="499" t="s">
        <v>108</v>
      </c>
      <c r="L212" s="63" t="s">
        <v>109</v>
      </c>
      <c r="M212" s="204" t="s">
        <v>218</v>
      </c>
      <c r="N212" s="204" t="s">
        <v>216</v>
      </c>
      <c r="O212" s="204" t="s">
        <v>80</v>
      </c>
      <c r="P212" s="204" t="s">
        <v>38</v>
      </c>
      <c r="Q212" s="205">
        <v>46141</v>
      </c>
      <c r="R212" s="66">
        <v>46446</v>
      </c>
      <c r="S212" s="44" t="s">
        <v>75</v>
      </c>
      <c r="T212" s="3" t="s">
        <v>170</v>
      </c>
      <c r="U212" s="34" t="str">
        <f t="shared" si="30"/>
        <v>Q4 2027</v>
      </c>
    </row>
    <row r="213" spans="1:21" ht="14.4" thickBot="1">
      <c r="A213" s="112"/>
      <c r="B213" s="135" t="s">
        <v>136</v>
      </c>
      <c r="C213" s="23" t="s">
        <v>186</v>
      </c>
      <c r="D213" s="115"/>
      <c r="E213" s="156"/>
      <c r="F213" s="203">
        <v>50</v>
      </c>
      <c r="G213" s="498">
        <f>F213</f>
        <v>50</v>
      </c>
      <c r="H213" s="495">
        <v>0</v>
      </c>
      <c r="I213" s="204" t="s">
        <v>55</v>
      </c>
      <c r="J213" s="496">
        <v>46695</v>
      </c>
      <c r="K213" s="499" t="s">
        <v>159</v>
      </c>
      <c r="L213" s="63" t="s">
        <v>109</v>
      </c>
      <c r="M213" s="204" t="s">
        <v>218</v>
      </c>
      <c r="N213" s="204" t="s">
        <v>216</v>
      </c>
      <c r="O213" s="204" t="s">
        <v>80</v>
      </c>
      <c r="P213" s="204" t="s">
        <v>38</v>
      </c>
      <c r="Q213" s="205">
        <v>46324</v>
      </c>
      <c r="R213" s="66">
        <v>46418</v>
      </c>
      <c r="S213" s="44" t="s">
        <v>75</v>
      </c>
      <c r="T213" s="3" t="s">
        <v>170</v>
      </c>
      <c r="U213" s="34" t="str">
        <f t="shared" si="30"/>
        <v>Q4 2027</v>
      </c>
    </row>
    <row r="214" spans="1:21" ht="14.4" thickBot="1">
      <c r="A214" s="112"/>
      <c r="B214" s="135" t="s">
        <v>136</v>
      </c>
      <c r="C214" s="23" t="s">
        <v>186</v>
      </c>
      <c r="D214" s="115"/>
      <c r="E214" s="156"/>
      <c r="F214" s="473">
        <v>150</v>
      </c>
      <c r="G214" s="434">
        <f>F214</f>
        <v>150</v>
      </c>
      <c r="H214" s="473">
        <v>0</v>
      </c>
      <c r="I214" s="14" t="s">
        <v>55</v>
      </c>
      <c r="J214" s="474">
        <v>46695</v>
      </c>
      <c r="K214" s="181" t="s">
        <v>159</v>
      </c>
      <c r="L214" s="175" t="s">
        <v>109</v>
      </c>
      <c r="M214" s="14" t="s">
        <v>219</v>
      </c>
      <c r="N214" s="14" t="s">
        <v>216</v>
      </c>
      <c r="O214" s="14" t="s">
        <v>80</v>
      </c>
      <c r="P214" s="14" t="s">
        <v>38</v>
      </c>
      <c r="Q214" s="475">
        <v>46324</v>
      </c>
      <c r="R214" s="501">
        <v>46507</v>
      </c>
      <c r="S214" s="44" t="s">
        <v>75</v>
      </c>
      <c r="T214" s="338" t="s">
        <v>192</v>
      </c>
      <c r="U214" s="34" t="str">
        <f t="shared" si="30"/>
        <v>Q1 2028</v>
      </c>
    </row>
    <row r="215" spans="1:21" ht="14.4" thickBot="1">
      <c r="A215" s="112"/>
      <c r="B215" s="135" t="s">
        <v>136</v>
      </c>
      <c r="C215" s="23" t="s">
        <v>186</v>
      </c>
      <c r="D215" s="115"/>
      <c r="E215" s="156"/>
      <c r="F215" s="502">
        <v>100</v>
      </c>
      <c r="G215" s="434">
        <v>100</v>
      </c>
      <c r="H215" s="473">
        <v>0</v>
      </c>
      <c r="I215" s="14" t="s">
        <v>55</v>
      </c>
      <c r="J215" s="474">
        <v>46695</v>
      </c>
      <c r="K215" s="181" t="s">
        <v>161</v>
      </c>
      <c r="L215" s="181" t="s">
        <v>109</v>
      </c>
      <c r="M215" s="181" t="s">
        <v>219</v>
      </c>
      <c r="N215" s="175" t="s">
        <v>216</v>
      </c>
      <c r="O215" s="175" t="s">
        <v>80</v>
      </c>
      <c r="P215" s="175" t="s">
        <v>38</v>
      </c>
      <c r="Q215" s="503">
        <v>46506</v>
      </c>
      <c r="R215" s="504">
        <v>46507</v>
      </c>
      <c r="S215" s="59" t="s">
        <v>163</v>
      </c>
      <c r="T215" s="338" t="s">
        <v>192</v>
      </c>
      <c r="U215" s="34" t="str">
        <f t="shared" si="30"/>
        <v>Q1 2028</v>
      </c>
    </row>
    <row r="216" spans="1:21" ht="14.4" thickBot="1">
      <c r="A216" s="112"/>
      <c r="B216" s="135" t="s">
        <v>136</v>
      </c>
      <c r="C216" s="23" t="s">
        <v>186</v>
      </c>
      <c r="D216" s="115"/>
      <c r="E216" s="156"/>
      <c r="F216" s="463">
        <v>137.5</v>
      </c>
      <c r="G216" s="142">
        <v>0</v>
      </c>
      <c r="H216" s="47">
        <f>5.2*10</f>
        <v>52</v>
      </c>
      <c r="I216" s="49" t="s">
        <v>55</v>
      </c>
      <c r="J216" s="50">
        <v>46695</v>
      </c>
      <c r="K216" s="49" t="s">
        <v>114</v>
      </c>
      <c r="L216" s="49" t="s">
        <v>27</v>
      </c>
      <c r="M216" s="51" t="s">
        <v>220</v>
      </c>
      <c r="N216" s="51" t="s">
        <v>216</v>
      </c>
      <c r="O216" s="51" t="s">
        <v>39</v>
      </c>
      <c r="P216" s="51" t="s">
        <v>39</v>
      </c>
      <c r="Q216" s="289" t="s">
        <v>39</v>
      </c>
      <c r="R216" s="505">
        <v>46112</v>
      </c>
      <c r="S216" s="44" t="s">
        <v>32</v>
      </c>
      <c r="T216" s="3"/>
      <c r="U216" s="34" t="str">
        <f t="shared" si="30"/>
        <v>Q4 2026</v>
      </c>
    </row>
    <row r="217" spans="1:21" ht="14.4" thickBot="1">
      <c r="A217" s="112"/>
      <c r="B217" s="145" t="s">
        <v>136</v>
      </c>
      <c r="C217" s="67" t="s">
        <v>186</v>
      </c>
      <c r="D217" s="115"/>
      <c r="E217" s="156"/>
      <c r="F217" s="292"/>
      <c r="G217" s="147">
        <v>0</v>
      </c>
      <c r="H217" s="272">
        <f>5.2*17</f>
        <v>88.4</v>
      </c>
      <c r="I217" s="149" t="s">
        <v>55</v>
      </c>
      <c r="J217" s="150">
        <v>46695</v>
      </c>
      <c r="K217" s="149" t="s">
        <v>114</v>
      </c>
      <c r="L217" s="149" t="s">
        <v>27</v>
      </c>
      <c r="M217" s="149" t="s">
        <v>220</v>
      </c>
      <c r="N217" s="149" t="s">
        <v>216</v>
      </c>
      <c r="O217" s="149" t="s">
        <v>39</v>
      </c>
      <c r="P217" s="149" t="s">
        <v>39</v>
      </c>
      <c r="Q217" s="506" t="s">
        <v>39</v>
      </c>
      <c r="R217" s="296">
        <v>46112</v>
      </c>
      <c r="S217" s="44" t="s">
        <v>32</v>
      </c>
      <c r="T217" s="3"/>
      <c r="U217" s="34" t="str">
        <f t="shared" si="30"/>
        <v>Q4 2026</v>
      </c>
    </row>
    <row r="218" spans="1:21" ht="15" thickTop="1" thickBot="1">
      <c r="A218" s="112"/>
      <c r="B218" s="135"/>
      <c r="C218" s="23"/>
      <c r="D218" s="115"/>
      <c r="E218" s="156"/>
      <c r="F218" s="507"/>
      <c r="G218" s="77"/>
      <c r="H218" s="323"/>
      <c r="I218" s="78"/>
      <c r="J218" s="78"/>
      <c r="K218" s="78"/>
      <c r="L218" s="78"/>
      <c r="M218" s="78"/>
      <c r="N218" s="78"/>
      <c r="O218" s="78"/>
      <c r="P218" s="78"/>
      <c r="Q218" s="78"/>
      <c r="R218" s="325"/>
      <c r="S218" s="2"/>
      <c r="T218" s="3"/>
      <c r="U218" s="3"/>
    </row>
    <row r="219" spans="1:21" s="511" customFormat="1" ht="14.4" thickBot="1">
      <c r="A219" s="508"/>
      <c r="B219" s="443"/>
      <c r="C219" s="509"/>
      <c r="D219" s="510"/>
      <c r="E219" s="446">
        <f>SUM(E167:E218)</f>
        <v>4750</v>
      </c>
      <c r="F219" s="447">
        <f>SUM(F167:F218)</f>
        <v>4616</v>
      </c>
      <c r="G219" s="448">
        <f>SUM(G167:G218)</f>
        <v>4169.5</v>
      </c>
      <c r="H219" s="448">
        <f>SUM(H167:H218)</f>
        <v>613.6</v>
      </c>
      <c r="I219" s="444"/>
      <c r="J219" s="444"/>
      <c r="K219" s="444"/>
      <c r="L219" s="444"/>
      <c r="M219" s="444"/>
      <c r="N219" s="444"/>
      <c r="O219" s="444"/>
      <c r="P219" s="444"/>
      <c r="Q219" s="444"/>
      <c r="R219" s="449"/>
      <c r="S219" s="2"/>
      <c r="T219" s="3"/>
      <c r="U219" s="3"/>
    </row>
    <row r="220" spans="1:21" ht="16.8" thickBot="1">
      <c r="A220" s="18" t="s">
        <v>221</v>
      </c>
      <c r="B220" s="19"/>
      <c r="C220" s="19"/>
      <c r="D220" s="19"/>
      <c r="E220" s="19"/>
      <c r="F220" s="512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1"/>
      <c r="T220" s="12"/>
      <c r="U220" s="11"/>
    </row>
    <row r="221" spans="1:21" ht="14.4" thickBot="1">
      <c r="A221" s="513">
        <v>1</v>
      </c>
      <c r="B221" s="515" t="s">
        <v>177</v>
      </c>
      <c r="C221" s="515" t="s">
        <v>222</v>
      </c>
      <c r="D221" s="516"/>
      <c r="E221" s="517">
        <v>1875</v>
      </c>
      <c r="F221" s="518">
        <v>250</v>
      </c>
      <c r="G221" s="493">
        <v>0</v>
      </c>
      <c r="H221" s="329">
        <f>20*5</f>
        <v>100</v>
      </c>
      <c r="I221" s="457" t="s">
        <v>223</v>
      </c>
      <c r="J221" s="457">
        <v>47391</v>
      </c>
      <c r="K221" s="456" t="s">
        <v>114</v>
      </c>
      <c r="L221" s="456" t="s">
        <v>224</v>
      </c>
      <c r="M221" s="456"/>
      <c r="N221" s="456" t="s">
        <v>225</v>
      </c>
      <c r="O221" s="456" t="s">
        <v>39</v>
      </c>
      <c r="P221" s="456" t="s">
        <v>39</v>
      </c>
      <c r="Q221" s="456" t="s">
        <v>39</v>
      </c>
      <c r="R221" s="459">
        <v>46477</v>
      </c>
      <c r="S221" s="44" t="s">
        <v>45</v>
      </c>
      <c r="T221" s="3"/>
      <c r="U221" s="34" t="str">
        <f t="shared" ref="U221:U224" si="31">IF(ROUNDUP(MONTH(R221)/3,0)-1=0,_xlfn.CONCAT("Q",4," ",YEAR(R221)),_xlfn.CONCAT("Q",ROUNDUP(MONTH(R221)/3,0)-1," ",YEAR(R221)+1))</f>
        <v>Q4 2027</v>
      </c>
    </row>
    <row r="222" spans="1:21" ht="14.4" thickBot="1">
      <c r="A222" s="513"/>
      <c r="B222" s="514" t="s">
        <v>177</v>
      </c>
      <c r="C222" s="514" t="s">
        <v>222</v>
      </c>
      <c r="D222" s="231"/>
      <c r="E222" s="517"/>
      <c r="F222" s="519"/>
      <c r="G222" s="170">
        <v>0</v>
      </c>
      <c r="H222" s="170">
        <f>30*5</f>
        <v>150</v>
      </c>
      <c r="I222" s="180" t="s">
        <v>223</v>
      </c>
      <c r="J222" s="180">
        <v>47391</v>
      </c>
      <c r="K222" s="175" t="s">
        <v>114</v>
      </c>
      <c r="L222" s="175" t="s">
        <v>224</v>
      </c>
      <c r="M222" s="175"/>
      <c r="N222" s="175" t="s">
        <v>225</v>
      </c>
      <c r="O222" s="175" t="s">
        <v>39</v>
      </c>
      <c r="P222" s="175" t="s">
        <v>39</v>
      </c>
      <c r="Q222" s="175" t="s">
        <v>39</v>
      </c>
      <c r="R222" s="504">
        <v>46568</v>
      </c>
      <c r="S222" s="44" t="s">
        <v>45</v>
      </c>
      <c r="T222" s="3"/>
      <c r="U222" s="34" t="str">
        <f t="shared" si="31"/>
        <v>Q1 2028</v>
      </c>
    </row>
    <row r="223" spans="1:21" ht="14.4" thickBot="1">
      <c r="A223" s="513"/>
      <c r="B223" s="514" t="s">
        <v>177</v>
      </c>
      <c r="C223" s="514" t="s">
        <v>222</v>
      </c>
      <c r="D223" s="520"/>
      <c r="E223" s="521"/>
      <c r="F223" s="522">
        <v>400</v>
      </c>
      <c r="G223" s="170">
        <f>F223</f>
        <v>400</v>
      </c>
      <c r="H223" s="473">
        <v>0</v>
      </c>
      <c r="I223" s="474" t="s">
        <v>223</v>
      </c>
      <c r="J223" s="474">
        <v>47391</v>
      </c>
      <c r="K223" s="175" t="s">
        <v>226</v>
      </c>
      <c r="L223" s="175" t="s">
        <v>36</v>
      </c>
      <c r="M223" s="523" t="s">
        <v>227</v>
      </c>
      <c r="N223" s="175" t="s">
        <v>225</v>
      </c>
      <c r="O223" s="175" t="s">
        <v>44</v>
      </c>
      <c r="P223" s="175" t="s">
        <v>36</v>
      </c>
      <c r="Q223" s="503" t="s">
        <v>39</v>
      </c>
      <c r="R223" s="504">
        <v>46752</v>
      </c>
      <c r="S223" s="59" t="s">
        <v>40</v>
      </c>
      <c r="T223" s="3"/>
      <c r="U223" s="34" t="str">
        <f t="shared" si="31"/>
        <v>Q3 2028</v>
      </c>
    </row>
    <row r="224" spans="1:21" ht="14.4" thickBot="1">
      <c r="A224" s="513"/>
      <c r="B224" s="358" t="s">
        <v>177</v>
      </c>
      <c r="C224" s="358" t="s">
        <v>222</v>
      </c>
      <c r="D224" s="520"/>
      <c r="E224" s="521"/>
      <c r="F224" s="756">
        <v>270</v>
      </c>
      <c r="G224" s="185">
        <f>F224</f>
        <v>270</v>
      </c>
      <c r="H224" s="185">
        <v>0</v>
      </c>
      <c r="I224" s="188" t="s">
        <v>223</v>
      </c>
      <c r="J224" s="188">
        <v>47391</v>
      </c>
      <c r="K224" s="187" t="s">
        <v>226</v>
      </c>
      <c r="L224" s="187" t="s">
        <v>36</v>
      </c>
      <c r="M224" s="757" t="s">
        <v>227</v>
      </c>
      <c r="N224" s="187" t="s">
        <v>225</v>
      </c>
      <c r="O224" s="187" t="s">
        <v>44</v>
      </c>
      <c r="P224" s="187" t="s">
        <v>36</v>
      </c>
      <c r="Q224" s="758" t="s">
        <v>39</v>
      </c>
      <c r="R224" s="192">
        <v>46843</v>
      </c>
      <c r="S224" s="59" t="s">
        <v>40</v>
      </c>
      <c r="T224" s="3"/>
      <c r="U224" s="34" t="str">
        <f t="shared" si="31"/>
        <v>Q4 2028</v>
      </c>
    </row>
    <row r="225" spans="1:21" ht="15" thickTop="1" thickBot="1">
      <c r="A225" s="21"/>
      <c r="B225" s="370"/>
      <c r="C225" s="370"/>
      <c r="D225" s="82"/>
      <c r="E225" s="528"/>
      <c r="F225" s="524"/>
      <c r="G225" s="77"/>
      <c r="H225" s="323"/>
      <c r="I225" s="525"/>
      <c r="J225" s="526"/>
      <c r="K225" s="370"/>
      <c r="L225" s="525"/>
      <c r="M225" s="525"/>
      <c r="N225" s="525"/>
      <c r="O225" s="525"/>
      <c r="P225" s="525"/>
      <c r="Q225" s="527"/>
      <c r="R225" s="428"/>
      <c r="S225" s="2"/>
      <c r="T225" s="3"/>
      <c r="U225" s="34"/>
    </row>
    <row r="226" spans="1:21" ht="17.850000000000001" customHeight="1">
      <c r="A226" s="513">
        <v>3</v>
      </c>
      <c r="B226" s="515" t="s">
        <v>183</v>
      </c>
      <c r="C226" s="515" t="s">
        <v>222</v>
      </c>
      <c r="D226" s="516"/>
      <c r="E226" s="528">
        <v>1250</v>
      </c>
      <c r="F226" s="529">
        <v>375</v>
      </c>
      <c r="G226" s="530">
        <v>0</v>
      </c>
      <c r="H226" s="366">
        <f>30*5</f>
        <v>150</v>
      </c>
      <c r="I226" s="531" t="s">
        <v>223</v>
      </c>
      <c r="J226" s="531">
        <v>47391</v>
      </c>
      <c r="K226" s="8" t="s">
        <v>114</v>
      </c>
      <c r="L226" s="532" t="s">
        <v>36</v>
      </c>
      <c r="M226" s="532"/>
      <c r="N226" s="8" t="s">
        <v>228</v>
      </c>
      <c r="O226" s="8" t="s">
        <v>39</v>
      </c>
      <c r="P226" s="8" t="s">
        <v>39</v>
      </c>
      <c r="Q226" s="8"/>
      <c r="R226" s="369">
        <v>46752</v>
      </c>
      <c r="S226" s="59" t="s">
        <v>40</v>
      </c>
      <c r="T226" s="3"/>
      <c r="U226" s="34" t="str">
        <f t="shared" ref="U226:U227" si="32">IF(ROUNDUP(MONTH(R226)/3,0)-1=0,_xlfn.CONCAT("Q",4," ",YEAR(R226)),_xlfn.CONCAT("Q",ROUNDUP(MONTH(R226)/3,0)-1," ",YEAR(R226)+1))</f>
        <v>Q3 2028</v>
      </c>
    </row>
    <row r="227" spans="1:21" ht="17.850000000000001" customHeight="1" thickBot="1">
      <c r="A227" s="76"/>
      <c r="B227" s="358" t="s">
        <v>183</v>
      </c>
      <c r="C227" s="358" t="s">
        <v>222</v>
      </c>
      <c r="D227" s="231"/>
      <c r="E227" s="533"/>
      <c r="F227" s="759"/>
      <c r="G227" s="436">
        <v>0</v>
      </c>
      <c r="H227" s="185">
        <f>45*5</f>
        <v>225</v>
      </c>
      <c r="I227" s="760" t="s">
        <v>223</v>
      </c>
      <c r="J227" s="760">
        <v>47391</v>
      </c>
      <c r="K227" s="487" t="s">
        <v>114</v>
      </c>
      <c r="L227" s="761" t="s">
        <v>36</v>
      </c>
      <c r="M227" s="190"/>
      <c r="N227" s="187" t="s">
        <v>228</v>
      </c>
      <c r="O227" s="187" t="s">
        <v>39</v>
      </c>
      <c r="P227" s="187" t="s">
        <v>39</v>
      </c>
      <c r="Q227" s="187"/>
      <c r="R227" s="192">
        <v>46843</v>
      </c>
      <c r="S227" s="59" t="s">
        <v>40</v>
      </c>
      <c r="T227" s="3"/>
      <c r="U227" s="34" t="str">
        <f t="shared" si="32"/>
        <v>Q4 2028</v>
      </c>
    </row>
    <row r="228" spans="1:21" ht="17.850000000000001" customHeight="1" thickTop="1" thickBot="1">
      <c r="A228" s="105"/>
      <c r="B228" s="534"/>
      <c r="C228" s="534"/>
      <c r="D228" s="218"/>
      <c r="E228" s="535"/>
      <c r="F228" s="536"/>
      <c r="G228" s="537"/>
      <c r="H228" s="537"/>
      <c r="I228" s="538"/>
      <c r="J228" s="538"/>
      <c r="K228" s="539"/>
      <c r="L228" s="539"/>
      <c r="M228" s="539"/>
      <c r="N228" s="539"/>
      <c r="O228" s="539"/>
      <c r="P228" s="539"/>
      <c r="Q228" s="540"/>
      <c r="R228" s="541"/>
      <c r="S228" s="3"/>
      <c r="T228" s="3"/>
      <c r="U228" s="34"/>
    </row>
    <row r="229" spans="1:21" ht="17.850000000000001" customHeight="1">
      <c r="A229" s="158">
        <v>8</v>
      </c>
      <c r="B229" s="515" t="s">
        <v>183</v>
      </c>
      <c r="C229" s="515" t="s">
        <v>222</v>
      </c>
      <c r="D229" s="231"/>
      <c r="E229" s="359">
        <v>1250</v>
      </c>
      <c r="F229" s="529">
        <v>275</v>
      </c>
      <c r="G229" s="530">
        <v>0</v>
      </c>
      <c r="H229" s="366">
        <f>20*5</f>
        <v>100</v>
      </c>
      <c r="I229" s="531" t="s">
        <v>223</v>
      </c>
      <c r="J229" s="531">
        <v>47391</v>
      </c>
      <c r="K229" s="8" t="s">
        <v>114</v>
      </c>
      <c r="L229" s="532" t="s">
        <v>36</v>
      </c>
      <c r="M229" s="8"/>
      <c r="N229" s="8" t="s">
        <v>229</v>
      </c>
      <c r="O229" s="8" t="s">
        <v>36</v>
      </c>
      <c r="P229" s="8" t="s">
        <v>36</v>
      </c>
      <c r="Q229" s="543"/>
      <c r="R229" s="369">
        <v>46783</v>
      </c>
      <c r="S229" s="59" t="s">
        <v>40</v>
      </c>
      <c r="T229" s="3"/>
      <c r="U229" s="34" t="str">
        <f t="shared" ref="U229:U230" si="33">IF(ROUNDUP(MONTH(R229)/3,0)-1=0,_xlfn.CONCAT("Q",4," ",YEAR(R229)),_xlfn.CONCAT("Q",ROUNDUP(MONTH(R229)/3,0)-1," ",YEAR(R229)+1))</f>
        <v>Q4 2028</v>
      </c>
    </row>
    <row r="230" spans="1:21" ht="17.850000000000001" customHeight="1" thickBot="1">
      <c r="A230" s="158"/>
      <c r="B230" s="355" t="s">
        <v>183</v>
      </c>
      <c r="C230" s="355" t="s">
        <v>222</v>
      </c>
      <c r="D230" s="231"/>
      <c r="E230" s="229"/>
      <c r="F230" s="759"/>
      <c r="G230" s="762"/>
      <c r="H230" s="485">
        <f>35*5</f>
        <v>175</v>
      </c>
      <c r="I230" s="763" t="s">
        <v>223</v>
      </c>
      <c r="J230" s="763">
        <v>47391</v>
      </c>
      <c r="K230" s="487" t="s">
        <v>114</v>
      </c>
      <c r="L230" s="761" t="s">
        <v>36</v>
      </c>
      <c r="M230" s="487"/>
      <c r="N230" s="487" t="s">
        <v>229</v>
      </c>
      <c r="O230" s="487" t="s">
        <v>36</v>
      </c>
      <c r="P230" s="487" t="s">
        <v>36</v>
      </c>
      <c r="Q230" s="764"/>
      <c r="R230" s="192">
        <v>46843</v>
      </c>
      <c r="S230" s="59" t="s">
        <v>40</v>
      </c>
      <c r="T230" s="3"/>
      <c r="U230" s="34" t="str">
        <f t="shared" si="33"/>
        <v>Q4 2028</v>
      </c>
    </row>
    <row r="231" spans="1:21" ht="17.850000000000001" customHeight="1" thickTop="1" thickBot="1">
      <c r="A231" s="158"/>
      <c r="B231" s="534"/>
      <c r="C231" s="534"/>
      <c r="D231" s="218"/>
      <c r="E231" s="544"/>
      <c r="F231" s="542"/>
      <c r="G231" s="537"/>
      <c r="H231" s="537"/>
      <c r="I231" s="538"/>
      <c r="J231" s="538"/>
      <c r="K231" s="539"/>
      <c r="L231" s="539"/>
      <c r="M231" s="539"/>
      <c r="N231" s="539"/>
      <c r="O231" s="539"/>
      <c r="P231" s="539"/>
      <c r="Q231" s="540"/>
      <c r="R231" s="541"/>
      <c r="S231" s="3"/>
      <c r="T231" s="3"/>
      <c r="U231" s="34"/>
    </row>
    <row r="232" spans="1:21" s="511" customFormat="1" ht="14.4" thickBot="1">
      <c r="A232" s="508"/>
      <c r="B232" s="545"/>
      <c r="C232" s="545"/>
      <c r="D232" s="545"/>
      <c r="E232" s="546">
        <f>SUM(E221:E231)</f>
        <v>4375</v>
      </c>
      <c r="F232" s="546">
        <f>SUM(F221:F231)</f>
        <v>1570</v>
      </c>
      <c r="G232" s="546">
        <f>SUM(G221:G231)</f>
        <v>670</v>
      </c>
      <c r="H232" s="547">
        <f>SUM(H221:H231)</f>
        <v>900</v>
      </c>
      <c r="I232" s="545"/>
      <c r="J232" s="545"/>
      <c r="K232" s="545"/>
      <c r="L232" s="545"/>
      <c r="M232" s="545"/>
      <c r="N232" s="545"/>
      <c r="O232" s="545"/>
      <c r="P232" s="545"/>
      <c r="Q232" s="545"/>
      <c r="R232" s="548"/>
      <c r="S232" s="2"/>
      <c r="T232" s="3"/>
      <c r="U232" s="3"/>
    </row>
    <row r="234" spans="1:21">
      <c r="B234" s="3" t="s">
        <v>230</v>
      </c>
    </row>
    <row r="235" spans="1:21">
      <c r="B235" s="550" t="s">
        <v>231</v>
      </c>
    </row>
    <row r="236" spans="1:21">
      <c r="B236" s="551" t="s">
        <v>232</v>
      </c>
      <c r="K236" s="552"/>
    </row>
    <row r="237" spans="1:21">
      <c r="B237" s="553" t="s">
        <v>233</v>
      </c>
    </row>
    <row r="238" spans="1:21">
      <c r="B238" s="554" t="s">
        <v>234</v>
      </c>
    </row>
    <row r="239" spans="1:21">
      <c r="B239" s="555"/>
    </row>
    <row r="240" spans="1:21">
      <c r="B240" s="309" t="s">
        <v>235</v>
      </c>
    </row>
  </sheetData>
  <autoFilter ref="A3:U232" xr:uid="{33884A7B-6A26-491C-946B-494EA54E966E}"/>
  <dataConsolidate/>
  <mergeCells count="129">
    <mergeCell ref="A229:A231"/>
    <mergeCell ref="E229:E231"/>
    <mergeCell ref="F229:F230"/>
    <mergeCell ref="A221:A225"/>
    <mergeCell ref="E221:E225"/>
    <mergeCell ref="F221:F222"/>
    <mergeCell ref="A226:A228"/>
    <mergeCell ref="E226:E228"/>
    <mergeCell ref="F226:F227"/>
    <mergeCell ref="A196:A206"/>
    <mergeCell ref="D196:D206"/>
    <mergeCell ref="E196:E206"/>
    <mergeCell ref="F200:F202"/>
    <mergeCell ref="A207:A218"/>
    <mergeCell ref="D207:D218"/>
    <mergeCell ref="E207:E218"/>
    <mergeCell ref="F207:F208"/>
    <mergeCell ref="F211:F212"/>
    <mergeCell ref="F216:F217"/>
    <mergeCell ref="A179:A195"/>
    <mergeCell ref="D179:D195"/>
    <mergeCell ref="E179:E195"/>
    <mergeCell ref="F179:F180"/>
    <mergeCell ref="F181:F182"/>
    <mergeCell ref="F183:F184"/>
    <mergeCell ref="F185:F186"/>
    <mergeCell ref="F187:F191"/>
    <mergeCell ref="F192:F194"/>
    <mergeCell ref="A167:A178"/>
    <mergeCell ref="D167:D178"/>
    <mergeCell ref="E167:E178"/>
    <mergeCell ref="F168:F169"/>
    <mergeCell ref="F170:F172"/>
    <mergeCell ref="F173:F177"/>
    <mergeCell ref="A156:A158"/>
    <mergeCell ref="E156:E158"/>
    <mergeCell ref="F156:F157"/>
    <mergeCell ref="A159:A160"/>
    <mergeCell ref="E159:E160"/>
    <mergeCell ref="A161:A164"/>
    <mergeCell ref="E161:E164"/>
    <mergeCell ref="F161:F163"/>
    <mergeCell ref="A142:A147"/>
    <mergeCell ref="E142:E147"/>
    <mergeCell ref="A148:A150"/>
    <mergeCell ref="E148:E150"/>
    <mergeCell ref="F148:F149"/>
    <mergeCell ref="A151:A155"/>
    <mergeCell ref="E151:E155"/>
    <mergeCell ref="F151:F154"/>
    <mergeCell ref="F132:F133"/>
    <mergeCell ref="F134:F135"/>
    <mergeCell ref="F136:F137"/>
    <mergeCell ref="A140:A141"/>
    <mergeCell ref="D140:D141"/>
    <mergeCell ref="E140:E141"/>
    <mergeCell ref="A120:A124"/>
    <mergeCell ref="E120:E124"/>
    <mergeCell ref="F120:F121"/>
    <mergeCell ref="D122:D124"/>
    <mergeCell ref="A125:A139"/>
    <mergeCell ref="D125:D139"/>
    <mergeCell ref="E125:E139"/>
    <mergeCell ref="F126:F127"/>
    <mergeCell ref="F128:F129"/>
    <mergeCell ref="F130:F131"/>
    <mergeCell ref="F99:F101"/>
    <mergeCell ref="F103:F105"/>
    <mergeCell ref="F106:F108"/>
    <mergeCell ref="F109:F111"/>
    <mergeCell ref="F112:F114"/>
    <mergeCell ref="F115:F118"/>
    <mergeCell ref="F85:F86"/>
    <mergeCell ref="A89:A91"/>
    <mergeCell ref="E89:E91"/>
    <mergeCell ref="F89:F90"/>
    <mergeCell ref="D90:D91"/>
    <mergeCell ref="A92:A119"/>
    <mergeCell ref="D92:D119"/>
    <mergeCell ref="E92:E119"/>
    <mergeCell ref="F92:F95"/>
    <mergeCell ref="F96:F98"/>
    <mergeCell ref="A71:A72"/>
    <mergeCell ref="D71:D72"/>
    <mergeCell ref="E71:E72"/>
    <mergeCell ref="A73:A88"/>
    <mergeCell ref="D73:D88"/>
    <mergeCell ref="E73:E88"/>
    <mergeCell ref="F51:F52"/>
    <mergeCell ref="F53:F54"/>
    <mergeCell ref="F55:F56"/>
    <mergeCell ref="F57:F63"/>
    <mergeCell ref="A68:A70"/>
    <mergeCell ref="D68:D70"/>
    <mergeCell ref="E68:E70"/>
    <mergeCell ref="F68:F69"/>
    <mergeCell ref="A45:A50"/>
    <mergeCell ref="D45:D50"/>
    <mergeCell ref="E45:E50"/>
    <mergeCell ref="A51:A67"/>
    <mergeCell ref="D51:D67"/>
    <mergeCell ref="E51:E67"/>
    <mergeCell ref="A33:A44"/>
    <mergeCell ref="D33:D43"/>
    <mergeCell ref="E33:E44"/>
    <mergeCell ref="F33:F39"/>
    <mergeCell ref="F40:F41"/>
    <mergeCell ref="F42:F43"/>
    <mergeCell ref="A21:A27"/>
    <mergeCell ref="E21:E27"/>
    <mergeCell ref="F21:F22"/>
    <mergeCell ref="A28:A32"/>
    <mergeCell ref="D28:D32"/>
    <mergeCell ref="E28:E32"/>
    <mergeCell ref="F9:F10"/>
    <mergeCell ref="F11:F12"/>
    <mergeCell ref="F13:F14"/>
    <mergeCell ref="A16:A20"/>
    <mergeCell ref="E16:E20"/>
    <mergeCell ref="F16:F17"/>
    <mergeCell ref="A1:R1"/>
    <mergeCell ref="A2:A3"/>
    <mergeCell ref="B2:B3"/>
    <mergeCell ref="E2:R2"/>
    <mergeCell ref="A5:A15"/>
    <mergeCell ref="D5:D6"/>
    <mergeCell ref="E5:E15"/>
    <mergeCell ref="F6:F8"/>
    <mergeCell ref="D9:D27"/>
  </mergeCells>
  <conditionalFormatting sqref="F20:H20 F27:H27 F32:H32 F44:H44 F50:H50 F67:H67 F70:H70 F72:H72 F88:H88 F91:H91 F119:H119 F124:H124 F139:H139 F141:H141 F147:H147 F178:H178 F195:H195 F206:H206 F218:H218 G221:G222 F225:H225">
    <cfRule type="cellIs" dxfId="4" priority="9" operator="notEqual">
      <formula>0</formula>
    </cfRule>
  </conditionalFormatting>
  <conditionalFormatting sqref="H223:H224">
    <cfRule type="cellIs" dxfId="3" priority="3" operator="notEqual">
      <formula>0</formula>
    </cfRule>
  </conditionalFormatting>
  <conditionalFormatting sqref="R5:R19 R21:R164 R167:R205 R221:R231">
    <cfRule type="cellIs" dxfId="2" priority="4" operator="lessThan">
      <formula>$J5</formula>
    </cfRule>
  </conditionalFormatting>
  <conditionalFormatting sqref="R207:R218">
    <cfRule type="cellIs" dxfId="1" priority="7" operator="lessThan">
      <formula>$J207</formula>
    </cfRule>
  </conditionalFormatting>
  <printOptions horizontalCentered="1"/>
  <pageMargins left="0.25" right="0.25" top="0.75" bottom="0.75" header="0.3" footer="0.3"/>
  <pageSetup paperSize="8" scale="52" fitToHeight="0" orientation="portrait" r:id="rId1"/>
  <rowBreaks count="1" manualBreakCount="1">
    <brk id="141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467C-923D-4968-9BF0-27F31A9C1528}">
  <sheetPr>
    <tabColor theme="5" tint="0.59999389629810485"/>
    <pageSetUpPr fitToPage="1"/>
  </sheetPr>
  <dimension ref="A1:M48"/>
  <sheetViews>
    <sheetView tabSelected="1" topLeftCell="A22" zoomScale="80" zoomScaleNormal="70" workbookViewId="0">
      <selection activeCell="C7" sqref="C7"/>
    </sheetView>
  </sheetViews>
  <sheetFormatPr defaultColWidth="8.58203125" defaultRowHeight="13.8"/>
  <cols>
    <col min="1" max="1" width="6.25" style="549" customWidth="1"/>
    <col min="2" max="2" width="14.4140625" style="549" customWidth="1"/>
    <col min="3" max="3" width="23" style="549" customWidth="1"/>
    <col min="4" max="4" width="13.6640625" style="34" customWidth="1"/>
    <col min="5" max="5" width="9.25" style="549" customWidth="1"/>
    <col min="6" max="6" width="7.58203125" style="722" bestFit="1" customWidth="1"/>
    <col min="7" max="7" width="7.4140625" style="723" bestFit="1" customWidth="1"/>
    <col min="8" max="8" width="24.58203125" style="549" customWidth="1"/>
    <col min="9" max="9" width="13.6640625" style="549" customWidth="1"/>
    <col min="10" max="10" width="12.4140625" style="549" customWidth="1"/>
    <col min="11" max="11" width="8" style="549" customWidth="1"/>
    <col min="12" max="12" width="14.58203125" style="34" bestFit="1" customWidth="1"/>
    <col min="13" max="13" width="9.4140625" style="34" bestFit="1" customWidth="1"/>
    <col min="14" max="16384" width="8.58203125" style="549"/>
  </cols>
  <sheetData>
    <row r="1" spans="1:13" ht="24" thickBot="1">
      <c r="A1" s="556" t="s">
        <v>292</v>
      </c>
      <c r="B1" s="556"/>
      <c r="C1" s="556"/>
      <c r="D1" s="556"/>
      <c r="E1" s="556"/>
      <c r="F1" s="556"/>
      <c r="G1" s="556"/>
      <c r="H1" s="556"/>
      <c r="I1" s="556"/>
      <c r="J1" s="556"/>
      <c r="K1" s="557"/>
    </row>
    <row r="2" spans="1:13" ht="28.2" thickBot="1">
      <c r="A2" s="558" t="s">
        <v>0</v>
      </c>
      <c r="B2" s="559" t="s">
        <v>236</v>
      </c>
      <c r="C2" s="560" t="s">
        <v>237</v>
      </c>
      <c r="D2" s="561" t="s">
        <v>238</v>
      </c>
      <c r="E2" s="560" t="s">
        <v>239</v>
      </c>
      <c r="F2" s="562" t="s">
        <v>6</v>
      </c>
      <c r="G2" s="563" t="s">
        <v>7</v>
      </c>
      <c r="H2" s="560" t="s">
        <v>10</v>
      </c>
      <c r="I2" s="560" t="s">
        <v>11</v>
      </c>
      <c r="J2" s="560" t="s">
        <v>16</v>
      </c>
      <c r="K2" s="564" t="s">
        <v>17</v>
      </c>
      <c r="L2" s="16" t="s">
        <v>18</v>
      </c>
      <c r="M2" s="16" t="s">
        <v>240</v>
      </c>
    </row>
    <row r="3" spans="1:13" ht="18.600000000000001" customHeight="1">
      <c r="A3" s="565">
        <v>1</v>
      </c>
      <c r="B3" s="566" t="s">
        <v>241</v>
      </c>
      <c r="C3" s="567" t="s">
        <v>242</v>
      </c>
      <c r="D3" s="119" t="s">
        <v>243</v>
      </c>
      <c r="E3" s="119">
        <v>150</v>
      </c>
      <c r="F3" s="568">
        <v>150</v>
      </c>
      <c r="G3" s="117">
        <v>0</v>
      </c>
      <c r="H3" s="119" t="s">
        <v>244</v>
      </c>
      <c r="I3" s="119" t="s">
        <v>245</v>
      </c>
      <c r="J3" s="121">
        <v>45382</v>
      </c>
      <c r="K3" s="199">
        <v>45382</v>
      </c>
      <c r="L3" s="569"/>
      <c r="M3" s="34" t="str">
        <f>IF(ROUNDUP(MONTH(K3)/3,0)-1=0,_xlfn.CONCAT("Q",4," ",YEAR(K3)),_xlfn.CONCAT("Q",ROUNDUP(MONTH(K3)/3,0)-1," ",YEAR(K3)+1))</f>
        <v>Q4 2024</v>
      </c>
    </row>
    <row r="4" spans="1:13" ht="18.600000000000001" customHeight="1">
      <c r="A4" s="570">
        <f>A3+1</f>
        <v>2</v>
      </c>
      <c r="B4" s="571" t="s">
        <v>241</v>
      </c>
      <c r="C4" s="572" t="s">
        <v>242</v>
      </c>
      <c r="D4" s="28" t="s">
        <v>243</v>
      </c>
      <c r="E4" s="573">
        <v>300</v>
      </c>
      <c r="F4" s="574">
        <v>150</v>
      </c>
      <c r="G4" s="26">
        <v>0</v>
      </c>
      <c r="H4" s="575" t="s">
        <v>246</v>
      </c>
      <c r="I4" s="575" t="s">
        <v>105</v>
      </c>
      <c r="J4" s="575" t="s">
        <v>180</v>
      </c>
      <c r="K4" s="32">
        <v>45900</v>
      </c>
      <c r="L4" s="569"/>
      <c r="M4" s="34" t="str">
        <f>IF(ROUNDUP(MONTH(K4)/3,0)-1=0,_xlfn.CONCAT("Q",4," ",YEAR(K4)),_xlfn.CONCAT("Q",ROUNDUP(MONTH(K4)/3,0)-1," ",YEAR(K4)+1))</f>
        <v>Q2 2026</v>
      </c>
    </row>
    <row r="5" spans="1:13" ht="18.600000000000001" customHeight="1" thickBot="1">
      <c r="A5" s="576">
        <f>A4+1</f>
        <v>3</v>
      </c>
      <c r="B5" s="577" t="s">
        <v>241</v>
      </c>
      <c r="C5" s="578" t="s">
        <v>242</v>
      </c>
      <c r="D5" s="579" t="s">
        <v>243</v>
      </c>
      <c r="E5" s="580"/>
      <c r="F5" s="581">
        <v>150</v>
      </c>
      <c r="G5" s="582">
        <v>0</v>
      </c>
      <c r="H5" s="577" t="s">
        <v>246</v>
      </c>
      <c r="I5" s="577" t="s">
        <v>105</v>
      </c>
      <c r="J5" s="577" t="s">
        <v>180</v>
      </c>
      <c r="K5" s="583">
        <v>46022</v>
      </c>
      <c r="L5" s="569"/>
      <c r="M5" s="34" t="str">
        <f>IF(ROUNDUP(MONTH(K5)/3,0)-1=0,_xlfn.CONCAT("Q",4," ",YEAR(K5)),_xlfn.CONCAT("Q",ROUNDUP(MONTH(K5)/3,0)-1," ",YEAR(K5)+1))</f>
        <v>Q3 2026</v>
      </c>
    </row>
    <row r="6" spans="1:13" ht="18.600000000000001" customHeight="1">
      <c r="A6" s="584">
        <f>A5+1</f>
        <v>4</v>
      </c>
      <c r="B6" s="585" t="s">
        <v>247</v>
      </c>
      <c r="C6" s="586" t="s">
        <v>248</v>
      </c>
      <c r="D6" s="587" t="s">
        <v>243</v>
      </c>
      <c r="E6" s="30">
        <v>250</v>
      </c>
      <c r="F6" s="588">
        <v>250</v>
      </c>
      <c r="G6" s="256">
        <v>0</v>
      </c>
      <c r="H6" s="589" t="s">
        <v>63</v>
      </c>
      <c r="I6" s="589" t="s">
        <v>249</v>
      </c>
      <c r="J6" s="259">
        <v>45601</v>
      </c>
      <c r="K6" s="97">
        <v>45657</v>
      </c>
      <c r="L6" s="569" t="s">
        <v>81</v>
      </c>
      <c r="M6" s="34" t="str">
        <f>IF(ROUNDUP(MONTH(K6)/3,0)-1=0,_xlfn.CONCAT("Q",4," ",YEAR(K6)),_xlfn.CONCAT("Q",ROUNDUP(MONTH(K6)/3,0)-1," ",YEAR(K6)+1))</f>
        <v>Q3 2025</v>
      </c>
    </row>
    <row r="7" spans="1:13" ht="18.600000000000001" customHeight="1" thickBot="1">
      <c r="A7" s="724">
        <f>A6+1</f>
        <v>5</v>
      </c>
      <c r="B7" s="263" t="s">
        <v>247</v>
      </c>
      <c r="C7" s="725" t="s">
        <v>248</v>
      </c>
      <c r="D7" s="726" t="s">
        <v>243</v>
      </c>
      <c r="E7" s="263">
        <v>250</v>
      </c>
      <c r="F7" s="594">
        <v>250</v>
      </c>
      <c r="G7" s="261">
        <v>0</v>
      </c>
      <c r="H7" s="595" t="s">
        <v>63</v>
      </c>
      <c r="I7" s="595" t="s">
        <v>249</v>
      </c>
      <c r="J7" s="265">
        <v>45601</v>
      </c>
      <c r="K7" s="596">
        <v>45747</v>
      </c>
      <c r="L7" s="569" t="s">
        <v>81</v>
      </c>
      <c r="M7" s="34" t="str">
        <f>IF(ROUNDUP(MONTH(K7)/3,0)-1=0,_xlfn.CONCAT("Q",4," ",YEAR(K7)),_xlfn.CONCAT("Q",ROUNDUP(MONTH(K7)/3,0)-1," ",YEAR(K7)+1))</f>
        <v>Q4 2025</v>
      </c>
    </row>
    <row r="8" spans="1:13" ht="18.600000000000001" customHeight="1">
      <c r="A8" s="727">
        <f>A7+1</f>
        <v>6</v>
      </c>
      <c r="B8" s="728" t="s">
        <v>247</v>
      </c>
      <c r="C8" s="729" t="s">
        <v>250</v>
      </c>
      <c r="D8" s="730" t="s">
        <v>243</v>
      </c>
      <c r="E8" s="728">
        <v>50</v>
      </c>
      <c r="F8" s="731">
        <v>25</v>
      </c>
      <c r="G8" s="732">
        <v>0</v>
      </c>
      <c r="H8" s="733" t="s">
        <v>121</v>
      </c>
      <c r="I8" s="733" t="s">
        <v>125</v>
      </c>
      <c r="J8" s="734" t="s">
        <v>180</v>
      </c>
      <c r="K8" s="735">
        <v>45838</v>
      </c>
      <c r="L8" s="569" t="s">
        <v>150</v>
      </c>
      <c r="M8" s="34" t="str">
        <f>IF(ROUNDUP(MONTH(K8)/3,0)-1=0,_xlfn.CONCAT("Q",4," ",YEAR(K8)),_xlfn.CONCAT("Q",ROUNDUP(MONTH(K8)/3,0)-1," ",YEAR(K8)+1))</f>
        <v>Q1 2026</v>
      </c>
    </row>
    <row r="9" spans="1:13" ht="18.600000000000001" customHeight="1" thickBot="1">
      <c r="A9" s="736"/>
      <c r="B9" s="598"/>
      <c r="C9" s="599"/>
      <c r="D9" s="737" t="s">
        <v>243</v>
      </c>
      <c r="E9" s="598"/>
      <c r="F9" s="738">
        <v>25</v>
      </c>
      <c r="G9" s="739">
        <v>0</v>
      </c>
      <c r="H9" s="740" t="s">
        <v>251</v>
      </c>
      <c r="I9" s="740" t="s">
        <v>125</v>
      </c>
      <c r="J9" s="740" t="s">
        <v>180</v>
      </c>
      <c r="K9" s="741">
        <v>45838</v>
      </c>
      <c r="L9" s="569" t="s">
        <v>150</v>
      </c>
      <c r="M9" s="34" t="str">
        <f>IF(ROUNDUP(MONTH(K9)/3,0)-1=0,_xlfn.CONCAT("Q",4," ",YEAR(K9)),_xlfn.CONCAT("Q",ROUNDUP(MONTH(K9)/3,0)-1," ",YEAR(K9)+1))</f>
        <v>Q1 2026</v>
      </c>
    </row>
    <row r="10" spans="1:13" ht="18.600000000000001" customHeight="1">
      <c r="A10" s="584">
        <f>A8+1</f>
        <v>7</v>
      </c>
      <c r="B10" s="585" t="s">
        <v>253</v>
      </c>
      <c r="C10" s="586" t="s">
        <v>254</v>
      </c>
      <c r="D10" s="587" t="s">
        <v>243</v>
      </c>
      <c r="E10" s="30">
        <v>180</v>
      </c>
      <c r="F10" s="588">
        <v>180</v>
      </c>
      <c r="G10" s="256">
        <v>0</v>
      </c>
      <c r="H10" s="30" t="s">
        <v>244</v>
      </c>
      <c r="I10" s="30" t="s">
        <v>245</v>
      </c>
      <c r="J10" s="259">
        <v>45382</v>
      </c>
      <c r="K10" s="97">
        <v>45382</v>
      </c>
      <c r="L10" s="569"/>
      <c r="M10" s="34" t="str">
        <f>IF(ROUNDUP(MONTH(K10)/3,0)-1=0,_xlfn.CONCAT("Q",4," ",YEAR(K10)),_xlfn.CONCAT("Q",ROUNDUP(MONTH(K10)/3,0)-1," ",YEAR(K10)+1))</f>
        <v>Q4 2024</v>
      </c>
    </row>
    <row r="11" spans="1:13" ht="18.600000000000001" customHeight="1">
      <c r="A11" s="590">
        <f t="shared" ref="A11:A42" si="0">A10+1</f>
        <v>8</v>
      </c>
      <c r="B11" s="28" t="s">
        <v>253</v>
      </c>
      <c r="C11" s="591" t="s">
        <v>255</v>
      </c>
      <c r="D11" s="592" t="s">
        <v>243</v>
      </c>
      <c r="E11" s="28">
        <v>250</v>
      </c>
      <c r="F11" s="574">
        <v>250</v>
      </c>
      <c r="G11" s="26">
        <v>0</v>
      </c>
      <c r="H11" s="593" t="s">
        <v>63</v>
      </c>
      <c r="I11" s="593" t="s">
        <v>48</v>
      </c>
      <c r="J11" s="31">
        <v>45601</v>
      </c>
      <c r="K11" s="32">
        <v>45716</v>
      </c>
      <c r="L11" s="569" t="s">
        <v>83</v>
      </c>
      <c r="M11" s="34" t="str">
        <f>IF(ROUNDUP(MONTH(K11)/3,0)-1=0,_xlfn.CONCAT("Q",4," ",YEAR(K11)),_xlfn.CONCAT("Q",ROUNDUP(MONTH(K11)/3,0)-1," ",YEAR(K11)+1))</f>
        <v>Q4 2025</v>
      </c>
    </row>
    <row r="12" spans="1:13" ht="18.600000000000001" customHeight="1" thickBot="1">
      <c r="A12" s="307">
        <f t="shared" si="0"/>
        <v>9</v>
      </c>
      <c r="B12" s="585" t="s">
        <v>253</v>
      </c>
      <c r="C12" s="601" t="s">
        <v>255</v>
      </c>
      <c r="D12" s="263" t="s">
        <v>243</v>
      </c>
      <c r="E12" s="263">
        <v>250</v>
      </c>
      <c r="F12" s="594">
        <v>250</v>
      </c>
      <c r="G12" s="261">
        <v>0</v>
      </c>
      <c r="H12" s="595" t="s">
        <v>63</v>
      </c>
      <c r="I12" s="595" t="s">
        <v>48</v>
      </c>
      <c r="J12" s="265">
        <v>45601</v>
      </c>
      <c r="K12" s="596">
        <v>45747</v>
      </c>
      <c r="L12" s="569" t="s">
        <v>83</v>
      </c>
      <c r="M12" s="34" t="str">
        <f>IF(ROUNDUP(MONTH(K12)/3,0)-1=0,_xlfn.CONCAT("Q",4," ",YEAR(K12)),_xlfn.CONCAT("Q",ROUNDUP(MONTH(K12)/3,0)-1," ",YEAR(K12)+1))</f>
        <v>Q4 2025</v>
      </c>
    </row>
    <row r="13" spans="1:13" ht="18.600000000000001" customHeight="1">
      <c r="A13" s="602">
        <f t="shared" si="0"/>
        <v>10</v>
      </c>
      <c r="B13" s="603" t="s">
        <v>256</v>
      </c>
      <c r="C13" s="604" t="s">
        <v>257</v>
      </c>
      <c r="D13" s="605" t="s">
        <v>243</v>
      </c>
      <c r="E13" s="606">
        <v>320</v>
      </c>
      <c r="F13" s="607">
        <v>251</v>
      </c>
      <c r="G13" s="608">
        <v>0</v>
      </c>
      <c r="H13" s="609" t="s">
        <v>258</v>
      </c>
      <c r="I13" s="609" t="s">
        <v>259</v>
      </c>
      <c r="J13" s="610" t="s">
        <v>180</v>
      </c>
      <c r="K13" s="611">
        <v>46112</v>
      </c>
      <c r="L13" s="569" t="s">
        <v>260</v>
      </c>
      <c r="M13" s="34" t="str">
        <f>IF(ROUNDUP(MONTH(K13)/3,0)-1=0,_xlfn.CONCAT("Q",4," ",YEAR(K13)),_xlfn.CONCAT("Q",ROUNDUP(MONTH(K13)/3,0)-1," ",YEAR(K13)+1))</f>
        <v>Q4 2026</v>
      </c>
    </row>
    <row r="14" spans="1:13" ht="18.600000000000001" customHeight="1">
      <c r="A14" s="612">
        <f t="shared" si="0"/>
        <v>11</v>
      </c>
      <c r="B14" s="613" t="s">
        <v>256</v>
      </c>
      <c r="C14" s="614"/>
      <c r="D14" s="499" t="s">
        <v>243</v>
      </c>
      <c r="E14" s="615"/>
      <c r="F14" s="203">
        <v>69</v>
      </c>
      <c r="G14" s="616">
        <v>0</v>
      </c>
      <c r="H14" s="617" t="s">
        <v>258</v>
      </c>
      <c r="I14" s="617" t="s">
        <v>259</v>
      </c>
      <c r="J14" s="617" t="s">
        <v>180</v>
      </c>
      <c r="K14" s="66">
        <v>46326</v>
      </c>
      <c r="L14" s="569" t="s">
        <v>260</v>
      </c>
      <c r="M14" s="34" t="str">
        <f>IF(ROUNDUP(MONTH(K14)/3,0)-1=0,_xlfn.CONCAT("Q",4," ",YEAR(K14)),_xlfn.CONCAT("Q",ROUNDUP(MONTH(K14)/3,0)-1," ",YEAR(K14)+1))</f>
        <v>Q3 2027</v>
      </c>
    </row>
    <row r="15" spans="1:13" ht="18.600000000000001" customHeight="1">
      <c r="A15" s="612">
        <f t="shared" si="0"/>
        <v>12</v>
      </c>
      <c r="B15" s="613" t="s">
        <v>256</v>
      </c>
      <c r="C15" s="614"/>
      <c r="D15" s="63" t="s">
        <v>243</v>
      </c>
      <c r="E15" s="618">
        <v>280</v>
      </c>
      <c r="F15" s="203">
        <v>70</v>
      </c>
      <c r="G15" s="61">
        <v>0</v>
      </c>
      <c r="H15" s="617" t="s">
        <v>258</v>
      </c>
      <c r="I15" s="617" t="s">
        <v>259</v>
      </c>
      <c r="J15" s="617" t="s">
        <v>180</v>
      </c>
      <c r="K15" s="66">
        <v>46326</v>
      </c>
      <c r="L15" s="569" t="s">
        <v>260</v>
      </c>
      <c r="M15" s="34" t="str">
        <f>IF(ROUNDUP(MONTH(K15)/3,0)-1=0,_xlfn.CONCAT("Q",4," ",YEAR(K15)),_xlfn.CONCAT("Q",ROUNDUP(MONTH(K15)/3,0)-1," ",YEAR(K15)+1))</f>
        <v>Q3 2027</v>
      </c>
    </row>
    <row r="16" spans="1:13" ht="18.600000000000001" customHeight="1">
      <c r="A16" s="612">
        <f t="shared" si="0"/>
        <v>13</v>
      </c>
      <c r="B16" s="613" t="s">
        <v>256</v>
      </c>
      <c r="C16" s="614"/>
      <c r="D16" s="63" t="s">
        <v>243</v>
      </c>
      <c r="E16" s="619"/>
      <c r="F16" s="203">
        <v>90</v>
      </c>
      <c r="G16" s="61">
        <v>0</v>
      </c>
      <c r="H16" s="617" t="s">
        <v>258</v>
      </c>
      <c r="I16" s="617" t="s">
        <v>259</v>
      </c>
      <c r="J16" s="617" t="s">
        <v>180</v>
      </c>
      <c r="K16" s="66">
        <v>46387</v>
      </c>
      <c r="L16" s="569" t="s">
        <v>260</v>
      </c>
      <c r="M16" s="34" t="str">
        <f>IF(ROUNDUP(MONTH(K16)/3,0)-1=0,_xlfn.CONCAT("Q",4," ",YEAR(K16)),_xlfn.CONCAT("Q",ROUNDUP(MONTH(K16)/3,0)-1," ",YEAR(K16)+1))</f>
        <v>Q3 2027</v>
      </c>
    </row>
    <row r="17" spans="1:13" ht="18.600000000000001" customHeight="1" thickBot="1">
      <c r="A17" s="620">
        <f t="shared" si="0"/>
        <v>14</v>
      </c>
      <c r="B17" s="621" t="s">
        <v>256</v>
      </c>
      <c r="C17" s="622"/>
      <c r="D17" s="204" t="s">
        <v>243</v>
      </c>
      <c r="E17" s="619"/>
      <c r="F17" s="623">
        <v>120</v>
      </c>
      <c r="G17" s="495">
        <v>0</v>
      </c>
      <c r="H17" s="624" t="s">
        <v>258</v>
      </c>
      <c r="I17" s="624" t="s">
        <v>259</v>
      </c>
      <c r="J17" s="624" t="s">
        <v>180</v>
      </c>
      <c r="K17" s="66">
        <v>46418</v>
      </c>
      <c r="L17" s="569" t="s">
        <v>260</v>
      </c>
      <c r="M17" s="34" t="str">
        <f>IF(ROUNDUP(MONTH(K17)/3,0)-1=0,_xlfn.CONCAT("Q",4," ",YEAR(K17)),_xlfn.CONCAT("Q",ROUNDUP(MONTH(K17)/3,0)-1," ",YEAR(K17)+1))</f>
        <v>Q4 2027</v>
      </c>
    </row>
    <row r="18" spans="1:13" ht="18.600000000000001" customHeight="1">
      <c r="A18" s="625">
        <f t="shared" si="0"/>
        <v>15</v>
      </c>
      <c r="B18" s="8" t="s">
        <v>261</v>
      </c>
      <c r="C18" s="626" t="s">
        <v>262</v>
      </c>
      <c r="D18" s="8" t="s">
        <v>243</v>
      </c>
      <c r="E18" s="7">
        <v>250</v>
      </c>
      <c r="F18" s="627">
        <v>100</v>
      </c>
      <c r="G18" s="366">
        <v>0</v>
      </c>
      <c r="H18" s="628" t="s">
        <v>62</v>
      </c>
      <c r="I18" s="628" t="s">
        <v>42</v>
      </c>
      <c r="J18" s="629">
        <v>45931</v>
      </c>
      <c r="K18" s="369">
        <v>46752</v>
      </c>
      <c r="L18" s="569" t="s">
        <v>204</v>
      </c>
      <c r="M18" s="34" t="str">
        <f>IF(ROUNDUP(MONTH(K18)/3,0)-1=0,_xlfn.CONCAT("Q",4," ",YEAR(K18)),_xlfn.CONCAT("Q",ROUNDUP(MONTH(K18)/3,0)-1," ",YEAR(K18)+1))</f>
        <v>Q3 2028</v>
      </c>
    </row>
    <row r="19" spans="1:13" ht="18.600000000000001" customHeight="1">
      <c r="A19" s="630">
        <f t="shared" si="0"/>
        <v>16</v>
      </c>
      <c r="B19" s="175" t="s">
        <v>261</v>
      </c>
      <c r="C19" s="631"/>
      <c r="D19" s="175" t="s">
        <v>243</v>
      </c>
      <c r="E19" s="632"/>
      <c r="F19" s="633">
        <v>150</v>
      </c>
      <c r="G19" s="170">
        <v>0</v>
      </c>
      <c r="H19" s="634" t="s">
        <v>62</v>
      </c>
      <c r="I19" s="634" t="s">
        <v>42</v>
      </c>
      <c r="J19" s="635">
        <v>45931</v>
      </c>
      <c r="K19" s="504">
        <v>46752</v>
      </c>
      <c r="L19" s="569" t="s">
        <v>204</v>
      </c>
      <c r="M19" s="34" t="str">
        <f>IF(ROUNDUP(MONTH(K19)/3,0)-1=0,_xlfn.CONCAT("Q",4," ",YEAR(K19)),_xlfn.CONCAT("Q",ROUNDUP(MONTH(K19)/3,0)-1," ",YEAR(K19)+1))</f>
        <v>Q3 2028</v>
      </c>
    </row>
    <row r="20" spans="1:13" ht="18.600000000000001" customHeight="1">
      <c r="A20" s="630">
        <f t="shared" si="0"/>
        <v>17</v>
      </c>
      <c r="B20" s="175" t="s">
        <v>261</v>
      </c>
      <c r="C20" s="631"/>
      <c r="D20" s="175" t="s">
        <v>243</v>
      </c>
      <c r="E20" s="175">
        <v>100</v>
      </c>
      <c r="F20" s="633">
        <v>100</v>
      </c>
      <c r="G20" s="170">
        <v>0</v>
      </c>
      <c r="H20" s="636" t="s">
        <v>62</v>
      </c>
      <c r="I20" s="636" t="s">
        <v>42</v>
      </c>
      <c r="J20" s="637">
        <v>46296</v>
      </c>
      <c r="K20" s="504">
        <v>46783</v>
      </c>
      <c r="L20" s="569" t="s">
        <v>204</v>
      </c>
      <c r="M20" s="34" t="str">
        <f>IF(ROUNDUP(MONTH(K20)/3,0)-1=0,_xlfn.CONCAT("Q",4," ",YEAR(K20)),_xlfn.CONCAT("Q",ROUNDUP(MONTH(K20)/3,0)-1," ",YEAR(K20)+1))</f>
        <v>Q4 2028</v>
      </c>
    </row>
    <row r="21" spans="1:13" ht="18.600000000000001" customHeight="1">
      <c r="A21" s="630">
        <f t="shared" si="0"/>
        <v>18</v>
      </c>
      <c r="B21" s="175" t="s">
        <v>261</v>
      </c>
      <c r="C21" s="631"/>
      <c r="D21" s="175" t="s">
        <v>243</v>
      </c>
      <c r="E21" s="638">
        <v>184</v>
      </c>
      <c r="F21" s="633">
        <v>54</v>
      </c>
      <c r="G21" s="170">
        <v>0</v>
      </c>
      <c r="H21" s="636" t="s">
        <v>62</v>
      </c>
      <c r="I21" s="636" t="s">
        <v>42</v>
      </c>
      <c r="J21" s="637">
        <v>46296</v>
      </c>
      <c r="K21" s="639">
        <v>46811</v>
      </c>
      <c r="L21" s="569" t="s">
        <v>204</v>
      </c>
      <c r="M21" s="34" t="str">
        <f>IF(ROUNDUP(MONTH(K21)/3,0)-1=0,_xlfn.CONCAT("Q",4," ",YEAR(K21)),_xlfn.CONCAT("Q",ROUNDUP(MONTH(K21)/3,0)-1," ",YEAR(K21)+1))</f>
        <v>Q4 2028</v>
      </c>
    </row>
    <row r="22" spans="1:13" ht="18.600000000000001" customHeight="1" thickBot="1">
      <c r="A22" s="640">
        <f t="shared" si="0"/>
        <v>19</v>
      </c>
      <c r="B22" s="14" t="s">
        <v>261</v>
      </c>
      <c r="C22" s="641"/>
      <c r="D22" s="14" t="s">
        <v>243</v>
      </c>
      <c r="E22" s="642"/>
      <c r="F22" s="502">
        <v>130</v>
      </c>
      <c r="G22" s="473">
        <v>0</v>
      </c>
      <c r="H22" s="643" t="s">
        <v>62</v>
      </c>
      <c r="I22" s="643" t="s">
        <v>42</v>
      </c>
      <c r="J22" s="644">
        <v>46296</v>
      </c>
      <c r="K22" s="639">
        <v>46811</v>
      </c>
      <c r="L22" s="569" t="s">
        <v>204</v>
      </c>
      <c r="M22" s="34" t="str">
        <f>IF(ROUNDUP(MONTH(K22)/3,0)-1=0,_xlfn.CONCAT("Q",4," ",YEAR(K22)),_xlfn.CONCAT("Q",ROUNDUP(MONTH(K22)/3,0)-1," ",YEAR(K22)+1))</f>
        <v>Q4 2028</v>
      </c>
    </row>
    <row r="23" spans="1:13" ht="18.600000000000001" customHeight="1">
      <c r="A23" s="602">
        <f t="shared" si="0"/>
        <v>20</v>
      </c>
      <c r="B23" s="566" t="s">
        <v>261</v>
      </c>
      <c r="C23" s="645" t="s">
        <v>262</v>
      </c>
      <c r="D23" s="566" t="s">
        <v>243</v>
      </c>
      <c r="E23" s="606">
        <v>250</v>
      </c>
      <c r="F23" s="607">
        <v>137.5</v>
      </c>
      <c r="G23" s="608">
        <v>0</v>
      </c>
      <c r="H23" s="609" t="s">
        <v>34</v>
      </c>
      <c r="I23" s="609" t="s">
        <v>60</v>
      </c>
      <c r="J23" s="610" t="s">
        <v>263</v>
      </c>
      <c r="K23" s="611">
        <v>46112</v>
      </c>
      <c r="L23" s="569" t="s">
        <v>61</v>
      </c>
      <c r="M23" s="34" t="str">
        <f>IF(ROUNDUP(MONTH(K23)/3,0)-1=0,_xlfn.CONCAT("Q",4," ",YEAR(K23)),_xlfn.CONCAT("Q",ROUNDUP(MONTH(K23)/3,0)-1," ",YEAR(K23)+1))</f>
        <v>Q4 2026</v>
      </c>
    </row>
    <row r="24" spans="1:13" ht="18.600000000000001" customHeight="1">
      <c r="A24" s="612">
        <f t="shared" si="0"/>
        <v>21</v>
      </c>
      <c r="B24" s="63" t="s">
        <v>261</v>
      </c>
      <c r="C24" s="646"/>
      <c r="D24" s="63" t="s">
        <v>243</v>
      </c>
      <c r="E24" s="615"/>
      <c r="F24" s="203">
        <v>112.5</v>
      </c>
      <c r="G24" s="61">
        <v>0</v>
      </c>
      <c r="H24" s="617" t="s">
        <v>34</v>
      </c>
      <c r="I24" s="617" t="s">
        <v>60</v>
      </c>
      <c r="J24" s="647" t="s">
        <v>263</v>
      </c>
      <c r="K24" s="66">
        <v>46387</v>
      </c>
      <c r="L24" s="569" t="s">
        <v>61</v>
      </c>
      <c r="M24" s="34" t="str">
        <f>IF(ROUNDUP(MONTH(K24)/3,0)-1=0,_xlfn.CONCAT("Q",4," ",YEAR(K24)),_xlfn.CONCAT("Q",ROUNDUP(MONTH(K24)/3,0)-1," ",YEAR(K24)+1))</f>
        <v>Q3 2027</v>
      </c>
    </row>
    <row r="25" spans="1:13" ht="18.600000000000001" customHeight="1">
      <c r="A25" s="612">
        <f t="shared" si="0"/>
        <v>22</v>
      </c>
      <c r="B25" s="63" t="s">
        <v>261</v>
      </c>
      <c r="C25" s="646"/>
      <c r="D25" s="63" t="s">
        <v>243</v>
      </c>
      <c r="E25" s="615">
        <v>250</v>
      </c>
      <c r="F25" s="203">
        <v>100</v>
      </c>
      <c r="G25" s="61">
        <v>0</v>
      </c>
      <c r="H25" s="617" t="s">
        <v>34</v>
      </c>
      <c r="I25" s="617" t="s">
        <v>60</v>
      </c>
      <c r="J25" s="647" t="s">
        <v>263</v>
      </c>
      <c r="K25" s="66">
        <v>46387</v>
      </c>
      <c r="L25" s="569" t="s">
        <v>61</v>
      </c>
      <c r="M25" s="34" t="str">
        <f>IF(ROUNDUP(MONTH(K25)/3,0)-1=0,_xlfn.CONCAT("Q",4," ",YEAR(K25)),_xlfn.CONCAT("Q",ROUNDUP(MONTH(K25)/3,0)-1," ",YEAR(K25)+1))</f>
        <v>Q3 2027</v>
      </c>
    </row>
    <row r="26" spans="1:13" ht="18.600000000000001" customHeight="1">
      <c r="A26" s="612">
        <f t="shared" si="0"/>
        <v>23</v>
      </c>
      <c r="B26" s="63" t="s">
        <v>261</v>
      </c>
      <c r="C26" s="646"/>
      <c r="D26" s="63" t="s">
        <v>243</v>
      </c>
      <c r="E26" s="615"/>
      <c r="F26" s="203">
        <v>150</v>
      </c>
      <c r="G26" s="61">
        <v>0</v>
      </c>
      <c r="H26" s="617" t="s">
        <v>34</v>
      </c>
      <c r="I26" s="617" t="s">
        <v>60</v>
      </c>
      <c r="J26" s="647" t="s">
        <v>263</v>
      </c>
      <c r="K26" s="66">
        <v>46418</v>
      </c>
      <c r="L26" s="569" t="s">
        <v>61</v>
      </c>
      <c r="M26" s="34" t="str">
        <f>IF(ROUNDUP(MONTH(K26)/3,0)-1=0,_xlfn.CONCAT("Q",4," ",YEAR(K26)),_xlfn.CONCAT("Q",ROUNDUP(MONTH(K26)/3,0)-1," ",YEAR(K26)+1))</f>
        <v>Q4 2027</v>
      </c>
    </row>
    <row r="27" spans="1:13" ht="18.600000000000001" customHeight="1" thickBot="1">
      <c r="A27" s="648">
        <f t="shared" si="0"/>
        <v>24</v>
      </c>
      <c r="B27" s="649" t="s">
        <v>261</v>
      </c>
      <c r="C27" s="650" t="s">
        <v>262</v>
      </c>
      <c r="D27" s="651" t="s">
        <v>243</v>
      </c>
      <c r="E27" s="651">
        <v>150</v>
      </c>
      <c r="F27" s="652">
        <v>150</v>
      </c>
      <c r="G27" s="653">
        <v>0</v>
      </c>
      <c r="H27" s="654" t="s">
        <v>264</v>
      </c>
      <c r="I27" s="654" t="s">
        <v>265</v>
      </c>
      <c r="J27" s="655">
        <v>46295</v>
      </c>
      <c r="K27" s="656">
        <v>46507</v>
      </c>
      <c r="L27" s="569" t="s">
        <v>266</v>
      </c>
      <c r="M27" s="34" t="str">
        <f>IF(ROUNDUP(MONTH(K27)/3,0)-1=0,_xlfn.CONCAT("Q",4," ",YEAR(K27)),_xlfn.CONCAT("Q",ROUNDUP(MONTH(K27)/3,0)-1," ",YEAR(K27)+1))</f>
        <v>Q1 2028</v>
      </c>
    </row>
    <row r="28" spans="1:13" ht="30.6" customHeight="1" thickBot="1">
      <c r="A28" s="657">
        <f t="shared" si="0"/>
        <v>25</v>
      </c>
      <c r="B28" s="658" t="s">
        <v>267</v>
      </c>
      <c r="C28" s="659" t="s">
        <v>268</v>
      </c>
      <c r="D28" s="600" t="s">
        <v>243</v>
      </c>
      <c r="E28" s="600">
        <v>250</v>
      </c>
      <c r="F28" s="660">
        <v>250</v>
      </c>
      <c r="G28" s="347">
        <v>0</v>
      </c>
      <c r="H28" s="661" t="s">
        <v>269</v>
      </c>
      <c r="I28" s="661" t="s">
        <v>270</v>
      </c>
      <c r="J28" s="662">
        <v>46081</v>
      </c>
      <c r="K28" s="663">
        <v>45747</v>
      </c>
      <c r="L28" s="569" t="s">
        <v>93</v>
      </c>
      <c r="M28" s="34" t="str">
        <f>IF(ROUNDUP(MONTH(K28)/3,0)-1=0,_xlfn.CONCAT("Q",4," ",YEAR(K28)),_xlfn.CONCAT("Q",ROUNDUP(MONTH(K28)/3,0)-1," ",YEAR(K28)+1))</f>
        <v>Q4 2025</v>
      </c>
    </row>
    <row r="29" spans="1:13" ht="18.600000000000001" customHeight="1">
      <c r="A29" s="602">
        <f t="shared" si="0"/>
        <v>26</v>
      </c>
      <c r="B29" s="566" t="s">
        <v>271</v>
      </c>
      <c r="C29" s="665" t="s">
        <v>272</v>
      </c>
      <c r="D29" s="566" t="s">
        <v>243</v>
      </c>
      <c r="E29" s="606">
        <v>300</v>
      </c>
      <c r="F29" s="607">
        <v>0</v>
      </c>
      <c r="G29" s="608">
        <f>30*3.3</f>
        <v>99</v>
      </c>
      <c r="H29" s="609" t="s">
        <v>114</v>
      </c>
      <c r="I29" s="609" t="s">
        <v>273</v>
      </c>
      <c r="J29" s="609" t="s">
        <v>180</v>
      </c>
      <c r="K29" s="611">
        <v>46234</v>
      </c>
      <c r="L29" s="569" t="s">
        <v>97</v>
      </c>
      <c r="M29" s="34" t="str">
        <f>IF(ROUNDUP(MONTH(K29)/3,0)-1=0,_xlfn.CONCAT("Q",4," ",YEAR(K29)),_xlfn.CONCAT("Q",ROUNDUP(MONTH(K29)/3,0)-1," ",YEAR(K29)+1))</f>
        <v>Q2 2027</v>
      </c>
    </row>
    <row r="30" spans="1:13" ht="18.600000000000001" customHeight="1">
      <c r="A30" s="612">
        <f t="shared" si="0"/>
        <v>27</v>
      </c>
      <c r="B30" s="63" t="s">
        <v>271</v>
      </c>
      <c r="C30" s="666"/>
      <c r="D30" s="63" t="s">
        <v>243</v>
      </c>
      <c r="E30" s="615"/>
      <c r="F30" s="203">
        <v>0</v>
      </c>
      <c r="G30" s="61">
        <f>(8)*3.3</f>
        <v>26.4</v>
      </c>
      <c r="H30" s="617" t="s">
        <v>114</v>
      </c>
      <c r="I30" s="617" t="s">
        <v>273</v>
      </c>
      <c r="J30" s="617" t="s">
        <v>180</v>
      </c>
      <c r="K30" s="66">
        <v>46295</v>
      </c>
      <c r="L30" s="569" t="s">
        <v>97</v>
      </c>
      <c r="M30" s="34" t="str">
        <f>IF(ROUNDUP(MONTH(K30)/3,0)-1=0,_xlfn.CONCAT("Q",4," ",YEAR(K30)),_xlfn.CONCAT("Q",ROUNDUP(MONTH(K30)/3,0)-1," ",YEAR(K30)+1))</f>
        <v>Q2 2027</v>
      </c>
    </row>
    <row r="31" spans="1:13" ht="18.600000000000001" customHeight="1">
      <c r="A31" s="612">
        <f t="shared" si="0"/>
        <v>28</v>
      </c>
      <c r="B31" s="63" t="s">
        <v>271</v>
      </c>
      <c r="C31" s="666"/>
      <c r="D31" s="63" t="s">
        <v>243</v>
      </c>
      <c r="E31" s="615"/>
      <c r="F31" s="203">
        <v>0</v>
      </c>
      <c r="G31" s="61">
        <f>(4)*3.3</f>
        <v>13.2</v>
      </c>
      <c r="H31" s="617" t="s">
        <v>114</v>
      </c>
      <c r="I31" s="617" t="s">
        <v>273</v>
      </c>
      <c r="J31" s="617" t="s">
        <v>180</v>
      </c>
      <c r="K31" s="66">
        <v>46295</v>
      </c>
      <c r="L31" s="569" t="s">
        <v>97</v>
      </c>
      <c r="M31" s="34" t="str">
        <f>IF(ROUNDUP(MONTH(K31)/3,0)-1=0,_xlfn.CONCAT("Q",4," ",YEAR(K31)),_xlfn.CONCAT("Q",ROUNDUP(MONTH(K31)/3,0)-1," ",YEAR(K31)+1))</f>
        <v>Q2 2027</v>
      </c>
    </row>
    <row r="32" spans="1:13" ht="18.600000000000001" customHeight="1">
      <c r="A32" s="667">
        <f t="shared" si="0"/>
        <v>29</v>
      </c>
      <c r="B32" s="668" t="s">
        <v>271</v>
      </c>
      <c r="C32" s="666"/>
      <c r="D32" s="668" t="s">
        <v>243</v>
      </c>
      <c r="E32" s="615"/>
      <c r="F32" s="669">
        <v>0</v>
      </c>
      <c r="G32" s="670">
        <f>(14)*3.3</f>
        <v>46.199999999999996</v>
      </c>
      <c r="H32" s="671" t="s">
        <v>114</v>
      </c>
      <c r="I32" s="671" t="s">
        <v>273</v>
      </c>
      <c r="J32" s="671" t="s">
        <v>180</v>
      </c>
      <c r="K32" s="143">
        <v>46387</v>
      </c>
      <c r="L32" s="569" t="s">
        <v>97</v>
      </c>
      <c r="M32" s="34" t="str">
        <f>IF(ROUNDUP(MONTH(K32)/3,0)-1=0,_xlfn.CONCAT("Q",4," ",YEAR(K32)),_xlfn.CONCAT("Q",ROUNDUP(MONTH(K32)/3,0)-1," ",YEAR(K32)+1))</f>
        <v>Q3 2027</v>
      </c>
    </row>
    <row r="33" spans="1:13" ht="18.600000000000001" customHeight="1">
      <c r="A33" s="667">
        <f t="shared" si="0"/>
        <v>30</v>
      </c>
      <c r="B33" s="668" t="s">
        <v>271</v>
      </c>
      <c r="C33" s="666"/>
      <c r="D33" s="668" t="s">
        <v>243</v>
      </c>
      <c r="E33" s="615"/>
      <c r="F33" s="669">
        <v>0</v>
      </c>
      <c r="G33" s="670">
        <f>22*3.3</f>
        <v>72.599999999999994</v>
      </c>
      <c r="H33" s="671" t="s">
        <v>114</v>
      </c>
      <c r="I33" s="671" t="s">
        <v>273</v>
      </c>
      <c r="J33" s="671" t="s">
        <v>180</v>
      </c>
      <c r="K33" s="143">
        <v>46477</v>
      </c>
      <c r="L33" s="569" t="s">
        <v>97</v>
      </c>
      <c r="M33" s="34" t="str">
        <f>IF(ROUNDUP(MONTH(K33)/3,0)-1=0,_xlfn.CONCAT("Q",4," ",YEAR(K33)),_xlfn.CONCAT("Q",ROUNDUP(MONTH(K33)/3,0)-1," ",YEAR(K33)+1))</f>
        <v>Q4 2027</v>
      </c>
    </row>
    <row r="34" spans="1:13" ht="18.600000000000001" customHeight="1" thickBot="1">
      <c r="A34" s="620">
        <f t="shared" si="0"/>
        <v>31</v>
      </c>
      <c r="B34" s="204" t="s">
        <v>271</v>
      </c>
      <c r="C34" s="672"/>
      <c r="D34" s="204" t="s">
        <v>243</v>
      </c>
      <c r="E34" s="618"/>
      <c r="F34" s="673">
        <v>0</v>
      </c>
      <c r="G34" s="674">
        <f>20*3.3</f>
        <v>66</v>
      </c>
      <c r="H34" s="675" t="s">
        <v>114</v>
      </c>
      <c r="I34" s="675" t="s">
        <v>273</v>
      </c>
      <c r="J34" s="675" t="s">
        <v>180</v>
      </c>
      <c r="K34" s="465">
        <v>46477</v>
      </c>
      <c r="L34" s="569" t="s">
        <v>97</v>
      </c>
      <c r="M34" s="34" t="str">
        <f>IF(ROUNDUP(MONTH(K34)/3,0)-1=0,_xlfn.CONCAT("Q",4," ",YEAR(K34)),_xlfn.CONCAT("Q",ROUNDUP(MONTH(K34)/3,0)-1," ",YEAR(K34)+1))</f>
        <v>Q4 2027</v>
      </c>
    </row>
    <row r="35" spans="1:13" ht="18.600000000000001" customHeight="1">
      <c r="A35" s="676">
        <f t="shared" si="0"/>
        <v>32</v>
      </c>
      <c r="B35" s="8" t="s">
        <v>271</v>
      </c>
      <c r="C35" s="677" t="s">
        <v>101</v>
      </c>
      <c r="D35" s="8" t="s">
        <v>252</v>
      </c>
      <c r="E35" s="7">
        <f>5*45</f>
        <v>225</v>
      </c>
      <c r="F35" s="627">
        <v>0</v>
      </c>
      <c r="G35" s="366">
        <f>5*20</f>
        <v>100</v>
      </c>
      <c r="H35" s="8" t="s">
        <v>114</v>
      </c>
      <c r="I35" s="678" t="s">
        <v>274</v>
      </c>
      <c r="J35" s="679" t="s">
        <v>180</v>
      </c>
      <c r="K35" s="369">
        <v>46568</v>
      </c>
      <c r="L35" s="597" t="s">
        <v>40</v>
      </c>
      <c r="M35" s="34" t="str">
        <f>IF(ROUNDUP(MONTH(K35)/3,0)-1=0,_xlfn.CONCAT("Q",4," ",YEAR(K35)),_xlfn.CONCAT("Q",ROUNDUP(MONTH(K35)/3,0)-1," ",YEAR(K35)+1))</f>
        <v>Q1 2028</v>
      </c>
    </row>
    <row r="36" spans="1:13" ht="18.600000000000001" customHeight="1" thickBot="1">
      <c r="A36" s="680">
        <f t="shared" si="0"/>
        <v>33</v>
      </c>
      <c r="B36" s="651" t="s">
        <v>271</v>
      </c>
      <c r="C36" s="681"/>
      <c r="D36" s="651" t="s">
        <v>252</v>
      </c>
      <c r="E36" s="682"/>
      <c r="F36" s="652">
        <v>0</v>
      </c>
      <c r="G36" s="653">
        <f>5*25</f>
        <v>125</v>
      </c>
      <c r="H36" s="651" t="s">
        <v>114</v>
      </c>
      <c r="I36" s="683" t="s">
        <v>274</v>
      </c>
      <c r="J36" s="684" t="s">
        <v>180</v>
      </c>
      <c r="K36" s="656">
        <v>46660</v>
      </c>
      <c r="L36" s="597" t="s">
        <v>40</v>
      </c>
      <c r="M36" s="34" t="str">
        <f>IF(ROUNDUP(MONTH(K36)/3,0)-1=0,_xlfn.CONCAT("Q",4," ",YEAR(K36)),_xlfn.CONCAT("Q",ROUNDUP(MONTH(K36)/3,0)-1," ",YEAR(K36)+1))</f>
        <v>Q2 2028</v>
      </c>
    </row>
    <row r="37" spans="1:13" ht="18.600000000000001" customHeight="1">
      <c r="A37" s="685">
        <f t="shared" si="0"/>
        <v>34</v>
      </c>
      <c r="B37" s="164" t="s">
        <v>275</v>
      </c>
      <c r="C37" s="686" t="s">
        <v>276</v>
      </c>
      <c r="D37" s="164" t="s">
        <v>243</v>
      </c>
      <c r="E37" s="687">
        <v>225.5</v>
      </c>
      <c r="F37" s="688">
        <v>0</v>
      </c>
      <c r="G37" s="163">
        <f>3.3*10</f>
        <v>33</v>
      </c>
      <c r="H37" s="689" t="s">
        <v>114</v>
      </c>
      <c r="I37" s="689" t="s">
        <v>277</v>
      </c>
      <c r="J37" s="371" t="s">
        <v>180</v>
      </c>
      <c r="K37" s="168">
        <v>46599</v>
      </c>
      <c r="L37" s="569" t="s">
        <v>45</v>
      </c>
      <c r="M37" s="34" t="str">
        <f>IF(ROUNDUP(MONTH(K37)/3,0)-1=0,_xlfn.CONCAT("Q",4," ",YEAR(K37)),_xlfn.CONCAT("Q",ROUNDUP(MONTH(K37)/3,0)-1," ",YEAR(K37)+1))</f>
        <v>Q2 2028</v>
      </c>
    </row>
    <row r="38" spans="1:13" ht="18.600000000000001" customHeight="1">
      <c r="A38" s="690">
        <f t="shared" si="0"/>
        <v>35</v>
      </c>
      <c r="B38" s="175" t="s">
        <v>275</v>
      </c>
      <c r="C38" s="691"/>
      <c r="D38" s="175" t="s">
        <v>243</v>
      </c>
      <c r="E38" s="692"/>
      <c r="F38" s="633">
        <v>0</v>
      </c>
      <c r="G38" s="170">
        <f>3.3*34</f>
        <v>112.19999999999999</v>
      </c>
      <c r="H38" s="634" t="s">
        <v>114</v>
      </c>
      <c r="I38" s="634" t="s">
        <v>277</v>
      </c>
      <c r="J38" s="177" t="s">
        <v>180</v>
      </c>
      <c r="K38" s="504">
        <v>46721</v>
      </c>
      <c r="L38" s="569" t="s">
        <v>45</v>
      </c>
      <c r="M38" s="34" t="str">
        <f>IF(ROUNDUP(MONTH(K38)/3,0)-1=0,_xlfn.CONCAT("Q",4," ",YEAR(K38)),_xlfn.CONCAT("Q",ROUNDUP(MONTH(K38)/3,0)-1," ",YEAR(K38)+1))</f>
        <v>Q3 2028</v>
      </c>
    </row>
    <row r="39" spans="1:13" ht="18.600000000000001" customHeight="1" thickBot="1">
      <c r="A39" s="680">
        <f t="shared" si="0"/>
        <v>36</v>
      </c>
      <c r="B39" s="651" t="s">
        <v>275</v>
      </c>
      <c r="C39" s="681"/>
      <c r="D39" s="651" t="s">
        <v>243</v>
      </c>
      <c r="E39" s="682"/>
      <c r="F39" s="652">
        <v>0</v>
      </c>
      <c r="G39" s="653">
        <f>3.3*30</f>
        <v>99</v>
      </c>
      <c r="H39" s="654" t="s">
        <v>114</v>
      </c>
      <c r="I39" s="654" t="s">
        <v>277</v>
      </c>
      <c r="J39" s="693" t="s">
        <v>180</v>
      </c>
      <c r="K39" s="656">
        <v>46782</v>
      </c>
      <c r="L39" s="569" t="s">
        <v>45</v>
      </c>
      <c r="M39" s="34" t="str">
        <f>IF(ROUNDUP(MONTH(K39)/3,0)-1=0,_xlfn.CONCAT("Q",4," ",YEAR(K39)),_xlfn.CONCAT("Q",ROUNDUP(MONTH(K39)/3,0)-1," ",YEAR(K39)+1))</f>
        <v>Q4 2028</v>
      </c>
    </row>
    <row r="40" spans="1:13" ht="18.600000000000001" customHeight="1" thickBot="1">
      <c r="A40" s="694">
        <f t="shared" si="0"/>
        <v>37</v>
      </c>
      <c r="B40" s="695" t="s">
        <v>275</v>
      </c>
      <c r="C40" s="696" t="s">
        <v>278</v>
      </c>
      <c r="D40" s="166" t="s">
        <v>243</v>
      </c>
      <c r="E40" s="166">
        <v>150</v>
      </c>
      <c r="F40" s="697">
        <v>150</v>
      </c>
      <c r="G40" s="171">
        <v>0</v>
      </c>
      <c r="H40" s="166" t="s">
        <v>212</v>
      </c>
      <c r="I40" s="698" t="s">
        <v>36</v>
      </c>
      <c r="J40" s="699" t="s">
        <v>180</v>
      </c>
      <c r="K40" s="700">
        <v>46721</v>
      </c>
      <c r="L40" s="597" t="s">
        <v>40</v>
      </c>
      <c r="M40" s="34" t="str">
        <f>IF(ROUNDUP(MONTH(K40)/3,0)-1=0,_xlfn.CONCAT("Q",4," ",YEAR(K40)),_xlfn.CONCAT("Q",ROUNDUP(MONTH(K40)/3,0)-1," ",YEAR(K40)+1))</f>
        <v>Q3 2028</v>
      </c>
    </row>
    <row r="41" spans="1:13" ht="18.600000000000001" customHeight="1">
      <c r="A41" s="676">
        <f t="shared" si="0"/>
        <v>38</v>
      </c>
      <c r="B41" s="8" t="s">
        <v>271</v>
      </c>
      <c r="C41" s="677" t="s">
        <v>279</v>
      </c>
      <c r="D41" s="8" t="s">
        <v>280</v>
      </c>
      <c r="E41" s="7">
        <v>300</v>
      </c>
      <c r="F41" s="627">
        <v>0</v>
      </c>
      <c r="G41" s="366">
        <f>30*5</f>
        <v>150</v>
      </c>
      <c r="H41" s="8" t="s">
        <v>114</v>
      </c>
      <c r="I41" s="701" t="s">
        <v>36</v>
      </c>
      <c r="J41" s="702" t="s">
        <v>180</v>
      </c>
      <c r="K41" s="703">
        <v>46660</v>
      </c>
      <c r="M41" s="34" t="str">
        <f>IF(ROUNDUP(MONTH(K41)/3,0)-1=0,_xlfn.CONCAT("Q",4," ",YEAR(K41)),_xlfn.CONCAT("Q",ROUNDUP(MONTH(K41)/3,0)-1," ",YEAR(K41)+1))</f>
        <v>Q2 2028</v>
      </c>
    </row>
    <row r="42" spans="1:13" ht="18.600000000000001" customHeight="1" thickBot="1">
      <c r="A42" s="680">
        <f t="shared" si="0"/>
        <v>39</v>
      </c>
      <c r="B42" s="651" t="s">
        <v>271</v>
      </c>
      <c r="C42" s="681"/>
      <c r="D42" s="651" t="s">
        <v>280</v>
      </c>
      <c r="E42" s="682"/>
      <c r="F42" s="652">
        <v>0</v>
      </c>
      <c r="G42" s="653">
        <f>30*5</f>
        <v>150</v>
      </c>
      <c r="H42" s="651" t="s">
        <v>114</v>
      </c>
      <c r="I42" s="649" t="s">
        <v>36</v>
      </c>
      <c r="J42" s="704" t="s">
        <v>180</v>
      </c>
      <c r="K42" s="705">
        <v>46752</v>
      </c>
      <c r="M42" s="34" t="str">
        <f>IF(ROUNDUP(MONTH(K42)/3,0)-1=0,_xlfn.CONCAT("Q",4," ",YEAR(K42)),_xlfn.CONCAT("Q",ROUNDUP(MONTH(K42)/3,0)-1," ",YEAR(K42)+1))</f>
        <v>Q3 2028</v>
      </c>
    </row>
    <row r="43" spans="1:13" ht="18.600000000000001" customHeight="1" thickBot="1">
      <c r="A43" s="706">
        <f>A42+1</f>
        <v>40</v>
      </c>
      <c r="B43" s="707" t="s">
        <v>282</v>
      </c>
      <c r="C43" s="708" t="s">
        <v>283</v>
      </c>
      <c r="D43" s="709" t="s">
        <v>243</v>
      </c>
      <c r="E43" s="709">
        <v>150</v>
      </c>
      <c r="F43" s="710">
        <v>150</v>
      </c>
      <c r="G43" s="711"/>
      <c r="H43" s="712" t="s">
        <v>121</v>
      </c>
      <c r="I43" s="712" t="s">
        <v>284</v>
      </c>
      <c r="J43" s="713">
        <v>45382</v>
      </c>
      <c r="K43" s="664">
        <v>45382</v>
      </c>
      <c r="M43" s="34" t="str">
        <f>IF(ROUNDUP(MONTH(K43)/3,0)-1=0,_xlfn.CONCAT("Q",4," ",YEAR(K43)),_xlfn.CONCAT("Q",ROUNDUP(MONTH(K43)/3,0)-1," ",YEAR(K43)+1))</f>
        <v>Q4 2024</v>
      </c>
    </row>
    <row r="44" spans="1:13" ht="18.600000000000001" customHeight="1" thickBot="1">
      <c r="A44" s="706">
        <f t="shared" ref="A44:A48" si="1">A43+1</f>
        <v>41</v>
      </c>
      <c r="B44" s="707" t="s">
        <v>281</v>
      </c>
      <c r="C44" s="708" t="s">
        <v>285</v>
      </c>
      <c r="D44" s="709" t="s">
        <v>243</v>
      </c>
      <c r="E44" s="709">
        <v>50</v>
      </c>
      <c r="F44" s="710">
        <v>50</v>
      </c>
      <c r="G44" s="711"/>
      <c r="H44" s="712" t="s">
        <v>121</v>
      </c>
      <c r="I44" s="712" t="s">
        <v>286</v>
      </c>
      <c r="J44" s="713">
        <v>45382</v>
      </c>
      <c r="K44" s="664">
        <v>45382</v>
      </c>
      <c r="M44" s="34" t="str">
        <f>IF(ROUNDUP(MONTH(K44)/3,0)-1=0,_xlfn.CONCAT("Q",4," ",YEAR(K44)),_xlfn.CONCAT("Q",ROUNDUP(MONTH(K44)/3,0)-1," ",YEAR(K44)+1))</f>
        <v>Q4 2024</v>
      </c>
    </row>
    <row r="45" spans="1:13" ht="18.600000000000001" customHeight="1" thickBot="1">
      <c r="A45" s="706">
        <f t="shared" si="1"/>
        <v>42</v>
      </c>
      <c r="B45" s="707" t="s">
        <v>275</v>
      </c>
      <c r="C45" s="708" t="s">
        <v>276</v>
      </c>
      <c r="D45" s="709" t="s">
        <v>243</v>
      </c>
      <c r="E45" s="709">
        <v>300</v>
      </c>
      <c r="F45" s="710"/>
      <c r="G45" s="711">
        <v>300</v>
      </c>
      <c r="H45" s="712" t="s">
        <v>287</v>
      </c>
      <c r="I45" s="712" t="s">
        <v>288</v>
      </c>
      <c r="J45" s="713">
        <v>45382</v>
      </c>
      <c r="K45" s="664">
        <v>45382</v>
      </c>
      <c r="M45" s="34" t="str">
        <f>IF(ROUNDUP(MONTH(K45)/3,0)-1=0,_xlfn.CONCAT("Q",4," ",YEAR(K45)),_xlfn.CONCAT("Q",ROUNDUP(MONTH(K45)/3,0)-1," ",YEAR(K45)+1))</f>
        <v>Q4 2024</v>
      </c>
    </row>
    <row r="46" spans="1:13" ht="18.600000000000001" customHeight="1" thickBot="1">
      <c r="A46" s="706">
        <f t="shared" si="1"/>
        <v>43</v>
      </c>
      <c r="B46" s="707"/>
      <c r="C46" s="708" t="s">
        <v>289</v>
      </c>
      <c r="D46" s="709" t="s">
        <v>243</v>
      </c>
      <c r="E46" s="709">
        <v>50</v>
      </c>
      <c r="F46" s="710"/>
      <c r="G46" s="711">
        <v>50</v>
      </c>
      <c r="H46" s="712" t="s">
        <v>114</v>
      </c>
      <c r="I46" s="712" t="s">
        <v>290</v>
      </c>
      <c r="J46" s="713">
        <v>45382</v>
      </c>
      <c r="K46" s="664">
        <v>45382</v>
      </c>
      <c r="M46" s="34" t="str">
        <f>IF(ROUNDUP(MONTH(K46)/3,0)-1=0,_xlfn.CONCAT("Q",4," ",YEAR(K46)),_xlfn.CONCAT("Q",ROUNDUP(MONTH(K46)/3,0)-1," ",YEAR(K46)+1))</f>
        <v>Q4 2024</v>
      </c>
    </row>
    <row r="47" spans="1:13" ht="18.600000000000001" customHeight="1" thickBot="1">
      <c r="A47" s="706">
        <f t="shared" si="1"/>
        <v>44</v>
      </c>
      <c r="B47" s="707"/>
      <c r="C47" s="708" t="s">
        <v>291</v>
      </c>
      <c r="D47" s="709" t="s">
        <v>243</v>
      </c>
      <c r="E47" s="709">
        <f>F47+G47</f>
        <v>4165</v>
      </c>
      <c r="F47" s="710">
        <v>3300</v>
      </c>
      <c r="G47" s="711">
        <v>865</v>
      </c>
      <c r="H47" s="712"/>
      <c r="I47" s="712"/>
      <c r="J47" s="713">
        <v>45382</v>
      </c>
      <c r="K47" s="664">
        <v>45382</v>
      </c>
      <c r="M47" s="34" t="str">
        <f>IF(ROUNDUP(MONTH(K47)/3,0)-1=0,_xlfn.CONCAT("Q",4," ",YEAR(K47)),_xlfn.CONCAT("Q",ROUNDUP(MONTH(K47)/3,0)-1," ",YEAR(K47)+1))</f>
        <v>Q4 2024</v>
      </c>
    </row>
    <row r="48" spans="1:13" ht="18.600000000000001" customHeight="1" thickBot="1">
      <c r="A48" s="706">
        <f t="shared" si="1"/>
        <v>45</v>
      </c>
      <c r="B48" s="714"/>
      <c r="C48" s="715" t="s">
        <v>291</v>
      </c>
      <c r="D48" s="716" t="s">
        <v>243</v>
      </c>
      <c r="E48" s="716">
        <f>F48+G48</f>
        <v>4594</v>
      </c>
      <c r="F48" s="717">
        <v>3543</v>
      </c>
      <c r="G48" s="718">
        <v>1051</v>
      </c>
      <c r="H48" s="719"/>
      <c r="I48" s="719"/>
      <c r="J48" s="720">
        <v>45382</v>
      </c>
      <c r="K48" s="721">
        <v>45382</v>
      </c>
      <c r="M48" s="34" t="str">
        <f>IF(ROUNDUP(MONTH(K48)/3,0)-1=0,_xlfn.CONCAT("Q",4," ",YEAR(K48)),_xlfn.CONCAT("Q",ROUNDUP(MONTH(K48)/3,0)-1," ",YEAR(K48)+1))</f>
        <v>Q4 2024</v>
      </c>
    </row>
  </sheetData>
  <autoFilter ref="A2:M48" xr:uid="{C3AB2926-566F-43CB-B26A-BCC6CEF53F3C}"/>
  <mergeCells count="23">
    <mergeCell ref="C37:C39"/>
    <mergeCell ref="E37:E39"/>
    <mergeCell ref="C41:C42"/>
    <mergeCell ref="E41:E42"/>
    <mergeCell ref="C23:C26"/>
    <mergeCell ref="E23:E24"/>
    <mergeCell ref="E25:E26"/>
    <mergeCell ref="C29:C34"/>
    <mergeCell ref="E29:E34"/>
    <mergeCell ref="C35:C36"/>
    <mergeCell ref="E35:E36"/>
    <mergeCell ref="C13:C17"/>
    <mergeCell ref="E13:E14"/>
    <mergeCell ref="E15:E17"/>
    <mergeCell ref="C18:C22"/>
    <mergeCell ref="E18:E19"/>
    <mergeCell ref="E21:E22"/>
    <mergeCell ref="A1:K1"/>
    <mergeCell ref="E4:E5"/>
    <mergeCell ref="A8:A9"/>
    <mergeCell ref="B8:B9"/>
    <mergeCell ref="C8:C9"/>
    <mergeCell ref="E8:E9"/>
  </mergeCells>
  <conditionalFormatting sqref="K3:K48">
    <cfRule type="cellIs" dxfId="0" priority="1" operator="lessThan">
      <formula>#REF!</formula>
    </cfRule>
  </conditionalFormatting>
  <pageMargins left="0.31496062992125984" right="0.15748031496062992" top="0.35433070866141736" bottom="0.74803149606299213" header="0.31496062992125984" footer="0.31496062992125984"/>
  <pageSetup paperSize="8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Khavda</vt:lpstr>
      <vt:lpstr>Non Khavda</vt:lpstr>
      <vt:lpstr>Khavda!Print_Area</vt:lpstr>
      <vt:lpstr>'Non Khavda'!Print_Area</vt:lpstr>
      <vt:lpstr>Khavda!Print_Titles</vt:lpstr>
      <vt:lpstr>'Non Khavda'!Print_Titles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Sahoo</dc:creator>
  <cp:lastModifiedBy>Satyajit Sahoo</cp:lastModifiedBy>
  <dcterms:created xsi:type="dcterms:W3CDTF">2026-09-04T07:08:27Z</dcterms:created>
  <dcterms:modified xsi:type="dcterms:W3CDTF">2026-09-04T07:30:25Z</dcterms:modified>
</cp:coreProperties>
</file>