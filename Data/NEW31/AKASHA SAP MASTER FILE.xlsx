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adaniltd-my.sharepoint.com/personal/30214607_adani_com/Documents/"/>
    </mc:Choice>
  </mc:AlternateContent>
  <xr:revisionPtr revIDLastSave="80" documentId="8_{7F046B26-F143-469C-902C-B84798FE63BE}" xr6:coauthVersionLast="47" xr6:coauthVersionMax="47" xr10:uidLastSave="{7A8FEC76-6797-40A5-9BC6-DE2FF053F0E9}"/>
  <bookViews>
    <workbookView xWindow="-120" yWindow="-120" windowWidth="29040" windowHeight="15720" xr2:uid="{490FF58C-6C38-4588-96AB-91949A1E653D}"/>
  </bookViews>
  <sheets>
    <sheet name="Sheet1 (2)" sheetId="2" r:id="rId1"/>
  </sheets>
  <externalReferences>
    <externalReference r:id="rId2"/>
  </externalReferences>
  <definedNames>
    <definedName name="_xlnm._FilterDatabase" localSheetId="0" hidden="1">'Sheet1 (2)'!$A$1:$H$65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2" l="1"/>
  <c r="H8" i="2"/>
  <c r="H9" i="2"/>
  <c r="H12" i="2"/>
  <c r="H14" i="2"/>
  <c r="H15" i="2"/>
  <c r="H16" i="2"/>
  <c r="H17" i="2"/>
  <c r="H18" i="2"/>
  <c r="H20" i="2"/>
  <c r="H21" i="2"/>
  <c r="H24" i="2"/>
  <c r="H25" i="2"/>
  <c r="H26" i="2"/>
  <c r="H27" i="2"/>
  <c r="H28" i="2"/>
  <c r="H31" i="2"/>
  <c r="H32" i="2"/>
  <c r="H33" i="2"/>
  <c r="H36" i="2"/>
  <c r="H37" i="2"/>
  <c r="H38" i="2"/>
  <c r="H40" i="2"/>
  <c r="H44" i="2"/>
  <c r="H45" i="2"/>
  <c r="H46" i="2"/>
  <c r="H47" i="2"/>
  <c r="H49" i="2"/>
  <c r="H50" i="2"/>
  <c r="H52" i="2"/>
  <c r="H54" i="2"/>
  <c r="H56" i="2"/>
  <c r="H58" i="2"/>
  <c r="H59" i="2"/>
  <c r="H62" i="2"/>
  <c r="H63" i="2"/>
  <c r="H64" i="2"/>
  <c r="H65" i="2"/>
</calcChain>
</file>

<file path=xl/sharedStrings.xml><?xml version="1.0" encoding="utf-8"?>
<sst xmlns="http://schemas.openxmlformats.org/spreadsheetml/2006/main" count="428" uniqueCount="296">
  <si>
    <t>P6 ID</t>
  </si>
  <si>
    <t>Project Name</t>
  </si>
  <si>
    <t>SPV</t>
  </si>
  <si>
    <t>Type (Cluster)</t>
  </si>
  <si>
    <t>AGEL</t>
  </si>
  <si>
    <t>AGE6L</t>
  </si>
  <si>
    <t xml:space="preserve">Plant code </t>
  </si>
  <si>
    <t>FY26-P03</t>
  </si>
  <si>
    <t>ACL_A01_E_FT_25MW_GROUP_NEW</t>
  </si>
  <si>
    <t>ACL</t>
  </si>
  <si>
    <t>Solar Khavda</t>
  </si>
  <si>
    <t>FY26-P07</t>
  </si>
  <si>
    <t>ACL_A01_HSAT_50MW_Group_NEW</t>
  </si>
  <si>
    <t>FY25-P08</t>
  </si>
  <si>
    <t>ACL_A1_FT_125MW_GROUP_Commissioned</t>
  </si>
  <si>
    <t>GWL64.2303</t>
  </si>
  <si>
    <t>FY26-P21</t>
  </si>
  <si>
    <t>AE2L_S03_HSAT_150MW_MERCHANT</t>
  </si>
  <si>
    <t>AE2L</t>
  </si>
  <si>
    <t>H-61B2</t>
  </si>
  <si>
    <t>H-51W5</t>
  </si>
  <si>
    <t>H-624C</t>
  </si>
  <si>
    <t>61B2</t>
  </si>
  <si>
    <t>FY26-P25</t>
  </si>
  <si>
    <t>AE3L_S01_HSAT_75_MW_MERCHANT</t>
  </si>
  <si>
    <t>AE3L</t>
  </si>
  <si>
    <t>H-61C2</t>
  </si>
  <si>
    <t>H-51WA</t>
  </si>
  <si>
    <t>H-624I</t>
  </si>
  <si>
    <t>61C2</t>
  </si>
  <si>
    <t>FY26-P12</t>
  </si>
  <si>
    <t>AGE24L_A03_HSAT_250MW</t>
  </si>
  <si>
    <t>AGE24L</t>
  </si>
  <si>
    <t>682A</t>
  </si>
  <si>
    <t>FY25-P07</t>
  </si>
  <si>
    <t>AGE24L_A14_HSAT_150MW_MERCHANT_Commissioned</t>
  </si>
  <si>
    <t>H-6821</t>
  </si>
  <si>
    <t>H-51GB</t>
  </si>
  <si>
    <t>H-623M</t>
  </si>
  <si>
    <t>FY25-P06</t>
  </si>
  <si>
    <t>AGE24L_S05_HSAT_150MW_MERCHANT_Commissioned</t>
  </si>
  <si>
    <t>H-6820</t>
  </si>
  <si>
    <t>H-51GA</t>
  </si>
  <si>
    <t>H-623L</t>
  </si>
  <si>
    <t>FY25-P18&amp;19&amp;20</t>
  </si>
  <si>
    <t>AGE25BL_A15a_HSAT_50MW_MERCHANT</t>
  </si>
  <si>
    <t>AHEJ5L</t>
  </si>
  <si>
    <t>H-688C</t>
  </si>
  <si>
    <t>H-51Z6</t>
  </si>
  <si>
    <t>H-623J</t>
  </si>
  <si>
    <t>688H</t>
  </si>
  <si>
    <t>FY25-BANDHA_500MW</t>
  </si>
  <si>
    <t>AGE25BL_BANDHA_FT_500MW_PPA</t>
  </si>
  <si>
    <t>AGE25BL</t>
  </si>
  <si>
    <t>Solar Rajasthan</t>
  </si>
  <si>
    <t xml:space="preserve">H-678B
</t>
  </si>
  <si>
    <t>H-51YW</t>
  </si>
  <si>
    <t>H-62RF</t>
  </si>
  <si>
    <t>678B</t>
  </si>
  <si>
    <t>51YW</t>
  </si>
  <si>
    <t>AGE25CL</t>
  </si>
  <si>
    <t>AGE25CL PSS-11 (36 Loc.) &amp; PSS-14 (13 Loc.)</t>
  </si>
  <si>
    <t>Wind</t>
  </si>
  <si>
    <t>H-606B</t>
  </si>
  <si>
    <t>H-51XA</t>
  </si>
  <si>
    <t>H-623A</t>
  </si>
  <si>
    <t>51XA</t>
  </si>
  <si>
    <t>AGE25CL (PH-4)</t>
  </si>
  <si>
    <t>AGE25CL PSS-18 (49 Loc.) - Phase-4</t>
  </si>
  <si>
    <t>H-606C</t>
  </si>
  <si>
    <t>H-51W2</t>
  </si>
  <si>
    <t>H-62W2</t>
  </si>
  <si>
    <t>FY25-P15</t>
  </si>
  <si>
    <t>AGE25CL_A06_FT_425MW_PPA</t>
  </si>
  <si>
    <t>H-6061</t>
  </si>
  <si>
    <t>H-51ZQ</t>
  </si>
  <si>
    <t>H-62GT</t>
  </si>
  <si>
    <t>51ZQ</t>
  </si>
  <si>
    <t>FY25-P09</t>
  </si>
  <si>
    <t>AGE25CL_A06_HSAT_75MW_PPA_Commissioned</t>
  </si>
  <si>
    <t>AGE26AL</t>
  </si>
  <si>
    <t>AGE26AL PSS-12 (27 Loc.) &amp; PSS-14 (60 Loc.)</t>
  </si>
  <si>
    <t>H-6034</t>
  </si>
  <si>
    <t>H-51XB</t>
  </si>
  <si>
    <t>H-623B</t>
  </si>
  <si>
    <t>51XB</t>
  </si>
  <si>
    <t>FY25-P14</t>
  </si>
  <si>
    <t>AGE26AL_A10a_FT_50MW_PPA_Commissioned</t>
  </si>
  <si>
    <t>H-603M  H-603B</t>
  </si>
  <si>
    <t>H-519Y</t>
  </si>
  <si>
    <t>H-623S</t>
  </si>
  <si>
    <t>FY25-P11</t>
  </si>
  <si>
    <t>AGE26AL_A16_FT_200MW_PPA_Commissioned</t>
  </si>
  <si>
    <t xml:space="preserve">H-603J  H-603D
</t>
  </si>
  <si>
    <t>H-51YA</t>
  </si>
  <si>
    <t>H-623O</t>
  </si>
  <si>
    <t>FY25-P13</t>
  </si>
  <si>
    <t>AGE26AL_A16_FT_333MW_PPA_Commissioned</t>
  </si>
  <si>
    <t>H-603L    H-603F</t>
  </si>
  <si>
    <t>H-51YC</t>
  </si>
  <si>
    <t>H-623Q</t>
  </si>
  <si>
    <t>FY25-P10</t>
  </si>
  <si>
    <t>AGE26AL_A16_FT_50MW_PPA_Commissioned</t>
  </si>
  <si>
    <t>H-603C
H-603I</t>
  </si>
  <si>
    <t>H-51Y9</t>
  </si>
  <si>
    <t>H-623N</t>
  </si>
  <si>
    <t>FY25-P12</t>
  </si>
  <si>
    <t>AGE26AL_A16C_FT_167MW_PPA_Commissioned</t>
  </si>
  <si>
    <t>H-603K   H-603E</t>
  </si>
  <si>
    <t>H-51YB</t>
  </si>
  <si>
    <t>H-623P</t>
  </si>
  <si>
    <t>FY26-P18</t>
  </si>
  <si>
    <t>AGE26AL_S06A_FT_234MW_PPA</t>
  </si>
  <si>
    <t>H-603N</t>
  </si>
  <si>
    <t>H-51YY</t>
  </si>
  <si>
    <t>H-624Y</t>
  </si>
  <si>
    <t>603C</t>
  </si>
  <si>
    <t>FY26-P12-5</t>
  </si>
  <si>
    <t>AGE26BL_A03_HSAT_250MW_LTP_T4_AP_NEW</t>
  </si>
  <si>
    <t>AGE26BL</t>
  </si>
  <si>
    <t>H-605C</t>
  </si>
  <si>
    <t>H-5177</t>
  </si>
  <si>
    <t>H-624R</t>
  </si>
  <si>
    <t>FY25-P05</t>
  </si>
  <si>
    <t>AGE26BL_S05_HSAT_292MW_MERCHANT_HYBRID_Commissioned</t>
  </si>
  <si>
    <t>H-6057</t>
  </si>
  <si>
    <t>H-51RY</t>
  </si>
  <si>
    <t>H-623Z</t>
  </si>
  <si>
    <t>AGE27AL_PSS09_FINAL</t>
  </si>
  <si>
    <t>AGE27AL_PSS09</t>
  </si>
  <si>
    <t>-</t>
  </si>
  <si>
    <t>BESS</t>
  </si>
  <si>
    <t>AGE27CL_PSS12_FINAL</t>
  </si>
  <si>
    <t>AGE27CL_PSS12</t>
  </si>
  <si>
    <t>AGE35L_PSS8B_FINAL</t>
  </si>
  <si>
    <t>AGE35L_PSS8B</t>
  </si>
  <si>
    <t>AGE44L_PSS5B_FINAL</t>
  </si>
  <si>
    <t>AGE44L_PSS5B</t>
  </si>
  <si>
    <t>FY27-P05</t>
  </si>
  <si>
    <t>AGEL_S10_287.5_MW_HSAT</t>
  </si>
  <si>
    <t>ARE55L</t>
  </si>
  <si>
    <t>H-61B3
H-51PJ</t>
  </si>
  <si>
    <t>H-515B
H-541S</t>
  </si>
  <si>
    <t>H-624F</t>
  </si>
  <si>
    <t>51P1</t>
  </si>
  <si>
    <t>FY27-P03&amp;04</t>
  </si>
  <si>
    <t>AGEL_SE14_HSAT_500MW_HILD</t>
  </si>
  <si>
    <t>H-51PL</t>
  </si>
  <si>
    <t>H-544S</t>
  </si>
  <si>
    <t>H-624O</t>
  </si>
  <si>
    <t>AGE27BL_PSS11_FINAL</t>
  </si>
  <si>
    <t>AGES11_PSS11</t>
  </si>
  <si>
    <t>AHEJ5L PSS-05 (39 Loc.)</t>
  </si>
  <si>
    <t>FY25-P04</t>
  </si>
  <si>
    <t>AHEJ5L_A15a_HSAT_150MW_MERCHANT</t>
  </si>
  <si>
    <t>H-688B
H-688C</t>
  </si>
  <si>
    <t>FY26-P05</t>
  </si>
  <si>
    <t>AHEJ5L_S04_HSAT_300MW_MERCHANT_HYBRID</t>
  </si>
  <si>
    <t>H-688F  H-688D</t>
  </si>
  <si>
    <t>H-516A</t>
  </si>
  <si>
    <t>H-623T</t>
  </si>
  <si>
    <t>FY26-P02</t>
  </si>
  <si>
    <t>APSEZ_A01_D_HSAT_25MW_GROUP</t>
  </si>
  <si>
    <t>ARE35L_PSS10B_FINAL</t>
  </si>
  <si>
    <t>ARE35L_PSS10B</t>
  </si>
  <si>
    <t>ARE3L</t>
  </si>
  <si>
    <t>ARE3L PSS-08 (05 Loc.)</t>
  </si>
  <si>
    <t>H-9222</t>
  </si>
  <si>
    <t>H-51ZX</t>
  </si>
  <si>
    <t>H-62GX</t>
  </si>
  <si>
    <t>51ZX</t>
  </si>
  <si>
    <t>FY25-P01</t>
  </si>
  <si>
    <t>ARE3L_A06_HSAT_25MW_MERCHANT_Commissioned</t>
  </si>
  <si>
    <t>H-9221</t>
  </si>
  <si>
    <t>H-51YS</t>
  </si>
  <si>
    <t>H-623G</t>
  </si>
  <si>
    <t>FY26-P01</t>
  </si>
  <si>
    <t>ARE41L_A01-C_HSAT_25MW_MERCHANT</t>
  </si>
  <si>
    <t>ARE41L</t>
  </si>
  <si>
    <t>H-514F</t>
  </si>
  <si>
    <t>H-51FF</t>
  </si>
  <si>
    <t>H-624W</t>
  </si>
  <si>
    <t>51F4</t>
  </si>
  <si>
    <t>FY25-P03</t>
  </si>
  <si>
    <t>ARE48L_S08_HSAT_100MW_MERCHANT</t>
  </si>
  <si>
    <t xml:space="preserve">H-678C  H-51LB
</t>
  </si>
  <si>
    <t>H-51Y1</t>
  </si>
  <si>
    <t>H-623I</t>
  </si>
  <si>
    <t>FY26-P09</t>
  </si>
  <si>
    <t>ARE55L_A01_HSAT_150MW_Group_NEW</t>
  </si>
  <si>
    <t xml:space="preserve">H-51PA  H-678D
</t>
  </si>
  <si>
    <t>H-54S2   H-51YU</t>
  </si>
  <si>
    <t>H-624A-275</t>
  </si>
  <si>
    <t>FY26-P10</t>
  </si>
  <si>
    <t>ARE55L_A02_HSAT_125MW</t>
  </si>
  <si>
    <t xml:space="preserve">
H-51PA   H-678D
</t>
  </si>
  <si>
    <t xml:space="preserve">
H-54S2     H-51YU</t>
  </si>
  <si>
    <t>FY26-P06</t>
  </si>
  <si>
    <t>ARE55L_A15b_HSAT_50MW_PPA</t>
  </si>
  <si>
    <t>H-51PM</t>
  </si>
  <si>
    <t>H-546S</t>
  </si>
  <si>
    <t>H-624N</t>
  </si>
  <si>
    <t>FY26-P23</t>
  </si>
  <si>
    <t>ARE55L_A18_HSAT_600MW_PPA</t>
  </si>
  <si>
    <t>H-514G
H-51PK</t>
  </si>
  <si>
    <t>H-51FZ
H-542S</t>
  </si>
  <si>
    <t>H-624E</t>
  </si>
  <si>
    <t>FY26-P19</t>
  </si>
  <si>
    <t>ARE55L_S01_HSAT_100_MW_PPA</t>
  </si>
  <si>
    <t>H-603O</t>
  </si>
  <si>
    <t>FY26-P22</t>
  </si>
  <si>
    <t>ARE55L_S01_HSAT_200_MW_PPA</t>
  </si>
  <si>
    <t>H-51PI     H-605D</t>
  </si>
  <si>
    <t>H-54S9  H-51YP</t>
  </si>
  <si>
    <t>H-624G</t>
  </si>
  <si>
    <t>FY26-P17</t>
  </si>
  <si>
    <t>ARE55L_S02A_HSAT_175_MW_PPA</t>
  </si>
  <si>
    <t>H-51PD   H-682F</t>
  </si>
  <si>
    <t>H-51W8
H-54S3</t>
  </si>
  <si>
    <t>H-624J - 175</t>
  </si>
  <si>
    <t>FY27-P06&amp;07</t>
  </si>
  <si>
    <t>ARE55L_S02A_HSAT_250 MW_PPA</t>
  </si>
  <si>
    <t>H-51PE</t>
  </si>
  <si>
    <t>H-54S4</t>
  </si>
  <si>
    <t>H-624L</t>
  </si>
  <si>
    <t>FY26-P20</t>
  </si>
  <si>
    <t>ARE55L_S02A_HSAT_50_MW_PPA</t>
  </si>
  <si>
    <t>H-682F
H-51PC</t>
  </si>
  <si>
    <t>H-51GY
H-545S</t>
  </si>
  <si>
    <t>H-624K - 50</t>
  </si>
  <si>
    <t>FY26-P24</t>
  </si>
  <si>
    <t>ARE55L_S02B_HSAT_12.5_MW_PPA</t>
  </si>
  <si>
    <t>FY27-P01&amp;P02</t>
  </si>
  <si>
    <t>ARE55L_S03_HSAT_500MW_MERCHANT</t>
  </si>
  <si>
    <t xml:space="preserve">
H-51PG  H-6033</t>
  </si>
  <si>
    <r>
      <rPr>
        <strike/>
        <sz val="10"/>
        <rFont val="Aptos Narrow"/>
        <family val="2"/>
        <scheme val="minor"/>
      </rPr>
      <t xml:space="preserve">H-51ZM </t>
    </r>
    <r>
      <rPr>
        <sz val="10"/>
        <rFont val="Aptos Narrow"/>
        <family val="2"/>
        <scheme val="minor"/>
      </rPr>
      <t xml:space="preserve">
H-54S6</t>
    </r>
  </si>
  <si>
    <t>H-624B</t>
  </si>
  <si>
    <t>FY26-P15</t>
  </si>
  <si>
    <t>ARE55L_S09_HSAT_400MW_PPA</t>
  </si>
  <si>
    <t>FY26-P26</t>
  </si>
  <si>
    <t>ARE55L_S10_HSAT_50 MW_PPA</t>
  </si>
  <si>
    <t>H-543S</t>
  </si>
  <si>
    <t>FY26-P04</t>
  </si>
  <si>
    <t>ARE57L_A12_HSAT_350MW_PPA</t>
  </si>
  <si>
    <t>ARE57L</t>
  </si>
  <si>
    <t>H-51R1</t>
  </si>
  <si>
    <t>H-51Y4</t>
  </si>
  <si>
    <t>H-62NG</t>
  </si>
  <si>
    <t>FY26-P08</t>
  </si>
  <si>
    <t>ARE8L_A02_HSAT_150MW_PPA_TPL</t>
  </si>
  <si>
    <t>ARE8L</t>
  </si>
  <si>
    <t>H-936A</t>
  </si>
  <si>
    <t>H-51W8  ACL
H-54S1</t>
  </si>
  <si>
    <t>H-624H</t>
  </si>
  <si>
    <t>FY26-LUDBAY_150MW</t>
  </si>
  <si>
    <t>ARE8L_LUDBAY_FT_150MW_PPA</t>
  </si>
  <si>
    <t>FY25-BAIYA_600MW</t>
  </si>
  <si>
    <t>ASEB1PL_BAIYA_FT_600MW_PPA</t>
  </si>
  <si>
    <t>ASEB1PL</t>
  </si>
  <si>
    <t>H-9712</t>
  </si>
  <si>
    <t>H-51AW</t>
  </si>
  <si>
    <t>H-621R</t>
  </si>
  <si>
    <t>9712</t>
  </si>
  <si>
    <t>51AW</t>
  </si>
  <si>
    <t>ASEJ6PL</t>
  </si>
  <si>
    <t>ASEJ6PL PSS-08 (12 Loc.)</t>
  </si>
  <si>
    <t>H-9845</t>
  </si>
  <si>
    <t>H-51ZR</t>
  </si>
  <si>
    <t>H-623R</t>
  </si>
  <si>
    <t>51ZR</t>
  </si>
  <si>
    <t>FY25-P02</t>
  </si>
  <si>
    <t>ASEJ6PL_A06_HSAT_35MW_MERCHANT_Commissioned</t>
  </si>
  <si>
    <t>FY26-P14</t>
  </si>
  <si>
    <t>ASEJ6PL_S07_FT_300MW_PPA</t>
  </si>
  <si>
    <t>H-984E
H-984G</t>
  </si>
  <si>
    <t>H-51BB</t>
  </si>
  <si>
    <t>H-624T</t>
  </si>
  <si>
    <t>984C</t>
  </si>
  <si>
    <t>FY26-P13</t>
  </si>
  <si>
    <t>Demo DPR Wind</t>
  </si>
  <si>
    <t>Digital DPR - Demo AGE26AL PSS-12 (27 Loc.) &amp; PSS-14 (60 Loc.)</t>
  </si>
  <si>
    <t>Digital</t>
  </si>
  <si>
    <t>MDW</t>
  </si>
  <si>
    <t>MANDVI</t>
  </si>
  <si>
    <t>H-6752</t>
  </si>
  <si>
    <t>H-51X7</t>
  </si>
  <si>
    <t>H-62X7</t>
  </si>
  <si>
    <t>51X7</t>
  </si>
  <si>
    <t>MNW - B3</t>
  </si>
  <si>
    <t>MUNDRA NORTH-NEW</t>
  </si>
  <si>
    <t>H-6182</t>
  </si>
  <si>
    <t>H-51YV</t>
  </si>
  <si>
    <t>H-62YV</t>
  </si>
  <si>
    <t>51YV</t>
  </si>
  <si>
    <t>FY27-P16-3-2</t>
  </si>
  <si>
    <t>NHPC EPC 600 MW Khavda-I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</si>
</sst>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Adani Regular"/>
      <family val="2"/>
    </font>
    <font>
      <sz val="10"/>
      <color rgb="FF9C0006"/>
      <name val="Adani Regular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</font>
    <font>
      <strike/>
      <sz val="10"/>
      <name val="Aptos Narrow"/>
      <family val="2"/>
      <scheme val="minor"/>
    </font>
    <font>
      <sz val="10"/>
      <color theme="1"/>
      <name val="Adani Regular"/>
    </font>
    <font>
      <sz val="10"/>
      <color rgb="FF000000"/>
      <name val="Adani Regular"/>
    </font>
    <font>
      <sz val="10"/>
      <name val="Adani Regular"/>
      <family val="2"/>
    </font>
    <font>
      <b/>
      <sz val="10"/>
      <color theme="0"/>
      <name val="Adani Regula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05496"/>
        <bgColor rgb="FF30549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2" fillId="0" borderId="0" xfId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0" xfId="1"/>
    <xf numFmtId="0" fontId="2" fillId="0" borderId="1" xfId="1" applyBorder="1"/>
    <xf numFmtId="49" fontId="2" fillId="0" borderId="1" xfId="1" applyNumberForma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/>
    <xf numFmtId="49" fontId="4" fillId="0" borderId="1" xfId="1" applyNumberFormat="1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vertical="center"/>
    </xf>
    <xf numFmtId="4" fontId="6" fillId="3" borderId="0" xfId="0" applyNumberFormat="1" applyFont="1" applyFill="1" applyAlignment="1">
      <alignment vertical="center" wrapText="1"/>
    </xf>
    <xf numFmtId="49" fontId="2" fillId="0" borderId="0" xfId="1" applyNumberFormat="1" applyAlignment="1">
      <alignment horizontal="center" vertical="center"/>
    </xf>
    <xf numFmtId="4" fontId="0" fillId="3" borderId="0" xfId="0" applyNumberFormat="1" applyFill="1" applyAlignment="1">
      <alignment vertical="center"/>
    </xf>
    <xf numFmtId="0" fontId="2" fillId="0" borderId="1" xfId="1" applyBorder="1" applyAlignment="1">
      <alignment vertical="center"/>
    </xf>
    <xf numFmtId="4" fontId="0" fillId="4" borderId="1" xfId="0" applyNumberFormat="1" applyFill="1" applyBorder="1" applyAlignment="1">
      <alignment vertical="center"/>
    </xf>
    <xf numFmtId="4" fontId="0" fillId="4" borderId="0" xfId="0" applyNumberFormat="1" applyFill="1" applyAlignment="1">
      <alignment vertical="center"/>
    </xf>
    <xf numFmtId="4" fontId="0" fillId="3" borderId="0" xfId="0" applyNumberFormat="1" applyFill="1" applyAlignment="1">
      <alignment vertical="center" wrapText="1"/>
    </xf>
    <xf numFmtId="0" fontId="2" fillId="0" borderId="2" xfId="1" applyBorder="1"/>
    <xf numFmtId="0" fontId="0" fillId="0" borderId="2" xfId="0" applyBorder="1"/>
    <xf numFmtId="4" fontId="0" fillId="5" borderId="2" xfId="0" applyNumberFormat="1" applyFill="1" applyBorder="1" applyAlignment="1">
      <alignment vertical="center"/>
    </xf>
    <xf numFmtId="4" fontId="7" fillId="5" borderId="2" xfId="0" applyNumberFormat="1" applyFont="1" applyFill="1" applyBorder="1" applyAlignment="1">
      <alignment horizontal="center" vertical="center" wrapText="1"/>
    </xf>
    <xf numFmtId="49" fontId="1" fillId="0" borderId="1" xfId="1" applyNumberFormat="1" applyFont="1" applyBorder="1" applyAlignment="1">
      <alignment vertical="center"/>
    </xf>
    <xf numFmtId="4" fontId="0" fillId="5" borderId="0" xfId="0" applyNumberFormat="1" applyFill="1" applyAlignment="1">
      <alignment vertical="center"/>
    </xf>
    <xf numFmtId="4" fontId="0" fillId="5" borderId="2" xfId="0" applyNumberFormat="1" applyFill="1" applyBorder="1" applyAlignment="1">
      <alignment vertical="center" wrapText="1"/>
    </xf>
    <xf numFmtId="4" fontId="8" fillId="5" borderId="0" xfId="0" applyNumberFormat="1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" fontId="0" fillId="3" borderId="2" xfId="0" applyNumberFormat="1" applyFill="1" applyBorder="1" applyAlignment="1">
      <alignment vertical="center"/>
    </xf>
    <xf numFmtId="17" fontId="9" fillId="6" borderId="0" xfId="0" applyNumberFormat="1" applyFont="1" applyFill="1" applyAlignment="1">
      <alignment horizontal="center" vertical="center"/>
    </xf>
    <xf numFmtId="17" fontId="9" fillId="6" borderId="4" xfId="0" applyNumberFormat="1" applyFont="1" applyFill="1" applyBorder="1" applyAlignment="1">
      <alignment horizontal="center" vertical="center"/>
    </xf>
    <xf numFmtId="0" fontId="10" fillId="7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4" fontId="0" fillId="5" borderId="0" xfId="0" applyNumberFormat="1" applyFill="1" applyAlignment="1">
      <alignment horizontal="center" vertical="center"/>
    </xf>
    <xf numFmtId="4" fontId="8" fillId="5" borderId="0" xfId="0" applyNumberFormat="1" applyFont="1" applyFill="1" applyAlignment="1">
      <alignment horizontal="center" vertical="center"/>
    </xf>
    <xf numFmtId="0" fontId="2" fillId="0" borderId="2" xfId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E1DD9457-6FA7-4E60-AC75-6526FFDEBE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aniltd-my.sharepoint.com/personal/30214607_adani_com/Documents/Microsoft%20Teams%20Chat%20Files/SAP%20Master%20sheet%20AKASHA_Updated_copy.xlsx" TargetMode="External"/><Relationship Id="rId1" Type="http://schemas.openxmlformats.org/officeDocument/2006/relationships/externalLinkPath" Target="Microsoft%20Teams%20Chat%20Files/SAP%20Master%20sheet%20AKASHA_Updated_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3)"/>
      <sheetName val="Sheet1 (2)"/>
      <sheetName val="Master"/>
    </sheetNames>
    <sheetDataSet>
      <sheetData sheetId="0"/>
      <sheetData sheetId="1"/>
      <sheetData sheetId="2">
        <row r="1">
          <cell r="D1" t="str">
            <v>Project ID</v>
          </cell>
          <cell r="L1" t="str">
            <v>SPVPlantCode</v>
          </cell>
        </row>
        <row r="2">
          <cell r="D2" t="str">
            <v>FY25-P08</v>
          </cell>
          <cell r="L2">
            <v>2303</v>
          </cell>
        </row>
        <row r="3">
          <cell r="D3" t="str">
            <v>FY25-P06</v>
          </cell>
          <cell r="L3" t="str">
            <v>682D</v>
          </cell>
        </row>
        <row r="4">
          <cell r="D4" t="str">
            <v>FY25-P07</v>
          </cell>
          <cell r="L4" t="str">
            <v>682D</v>
          </cell>
        </row>
        <row r="5">
          <cell r="D5" t="str">
            <v>FY25-P03</v>
          </cell>
          <cell r="L5" t="str">
            <v>678C</v>
          </cell>
        </row>
        <row r="6">
          <cell r="D6" t="str">
            <v>FY25-P09</v>
          </cell>
          <cell r="L6">
            <v>6061</v>
          </cell>
        </row>
        <row r="7">
          <cell r="D7" t="str">
            <v>FY25-P15</v>
          </cell>
          <cell r="L7">
            <v>6061</v>
          </cell>
        </row>
        <row r="8">
          <cell r="D8" t="str">
            <v>FY25-P10</v>
          </cell>
          <cell r="L8">
            <v>6031</v>
          </cell>
        </row>
        <row r="9">
          <cell r="D9" t="str">
            <v>FY25-P11</v>
          </cell>
          <cell r="L9">
            <v>6031</v>
          </cell>
        </row>
        <row r="10">
          <cell r="D10" t="str">
            <v>FY25-P12</v>
          </cell>
          <cell r="L10">
            <v>6031</v>
          </cell>
        </row>
        <row r="11">
          <cell r="D11" t="str">
            <v xml:space="preserve"> FY25-P13</v>
          </cell>
          <cell r="L11">
            <v>6031</v>
          </cell>
        </row>
        <row r="12">
          <cell r="D12" t="str">
            <v>FY25-P14</v>
          </cell>
          <cell r="L12">
            <v>6031</v>
          </cell>
        </row>
        <row r="13">
          <cell r="D13" t="str">
            <v>FY25-P05</v>
          </cell>
          <cell r="L13">
            <v>6057</v>
          </cell>
        </row>
        <row r="14">
          <cell r="D14" t="str">
            <v>FY25-P04</v>
          </cell>
          <cell r="L14">
            <v>6885</v>
          </cell>
        </row>
        <row r="15">
          <cell r="D15" t="str">
            <v>FY26-P02</v>
          </cell>
          <cell r="L15">
            <v>6885</v>
          </cell>
        </row>
        <row r="16">
          <cell r="D16" t="str">
            <v>FY25-P01</v>
          </cell>
          <cell r="L16">
            <v>9221</v>
          </cell>
        </row>
        <row r="17">
          <cell r="D17" t="str">
            <v>FY26-P04</v>
          </cell>
          <cell r="L17" t="str">
            <v>51R1</v>
          </cell>
        </row>
        <row r="18">
          <cell r="D18" t="str">
            <v>Not Found</v>
          </cell>
          <cell r="L18" t="str">
            <v>51R1</v>
          </cell>
        </row>
        <row r="19">
          <cell r="D19" t="str">
            <v>Not Found</v>
          </cell>
          <cell r="L19" t="str">
            <v>51R1</v>
          </cell>
        </row>
        <row r="20">
          <cell r="D20" t="str">
            <v>FY25-P02</v>
          </cell>
          <cell r="L20">
            <v>9844</v>
          </cell>
        </row>
        <row r="21">
          <cell r="D21" t="str">
            <v>FY25-P18</v>
          </cell>
          <cell r="L21" t="str">
            <v>10K3</v>
          </cell>
        </row>
        <row r="22">
          <cell r="D22" t="str">
            <v>FY25-P19</v>
          </cell>
          <cell r="L22" t="str">
            <v>9844</v>
          </cell>
        </row>
        <row r="23">
          <cell r="D23" t="str">
            <v xml:space="preserve">      FY25-BANDHA_500MW</v>
          </cell>
          <cell r="L23" t="str">
            <v>678B</v>
          </cell>
        </row>
        <row r="24">
          <cell r="D24" t="str">
            <v xml:space="preserve">      FY25-BAIYA_600MW</v>
          </cell>
          <cell r="L24">
            <v>9712</v>
          </cell>
        </row>
        <row r="25">
          <cell r="D25" t="str">
            <v xml:space="preserve">        FY26-P01</v>
          </cell>
          <cell r="L25" t="str">
            <v>51F4</v>
          </cell>
        </row>
        <row r="26">
          <cell r="D26" t="str">
            <v xml:space="preserve">        FY26-P02</v>
          </cell>
        </row>
        <row r="27">
          <cell r="D27" t="str">
            <v xml:space="preserve">        FY26-P03</v>
          </cell>
        </row>
        <row r="28">
          <cell r="D28" t="str">
            <v xml:space="preserve">        FY26-P05</v>
          </cell>
          <cell r="L28" t="str">
            <v>688H</v>
          </cell>
        </row>
        <row r="29">
          <cell r="D29" t="str">
            <v xml:space="preserve">        FY26-P06</v>
          </cell>
        </row>
        <row r="30">
          <cell r="D30" t="str">
            <v xml:space="preserve">        FY26- P07</v>
          </cell>
          <cell r="L30" t="str">
            <v>51P1</v>
          </cell>
        </row>
        <row r="31">
          <cell r="D31" t="str">
            <v xml:space="preserve">        FY26-P08</v>
          </cell>
          <cell r="L31">
            <v>9361</v>
          </cell>
        </row>
        <row r="32">
          <cell r="D32" t="str">
            <v xml:space="preserve">        FY26-P09</v>
          </cell>
          <cell r="L32" t="str">
            <v>51P1</v>
          </cell>
        </row>
        <row r="33">
          <cell r="D33" t="str">
            <v xml:space="preserve">        FY26-P10</v>
          </cell>
          <cell r="L33" t="str">
            <v>51P1</v>
          </cell>
        </row>
        <row r="34">
          <cell r="D34" t="str">
            <v xml:space="preserve">        FY26-P11</v>
          </cell>
          <cell r="L34">
            <v>6051</v>
          </cell>
        </row>
        <row r="35">
          <cell r="D35" t="str">
            <v xml:space="preserve">        FY26-P12</v>
          </cell>
          <cell r="L35" t="str">
            <v>682A</v>
          </cell>
        </row>
        <row r="36">
          <cell r="D36" t="str">
            <v xml:space="preserve">        FY27-P13</v>
          </cell>
          <cell r="L36" t="str">
            <v>984C</v>
          </cell>
        </row>
        <row r="37">
          <cell r="D37" t="str">
            <v xml:space="preserve">        FY26-P14</v>
          </cell>
          <cell r="L37" t="str">
            <v>984C</v>
          </cell>
        </row>
        <row r="38">
          <cell r="D38" t="str">
            <v xml:space="preserve">        FY27-P15</v>
          </cell>
          <cell r="L38" t="str">
            <v>51P1</v>
          </cell>
        </row>
        <row r="39">
          <cell r="D39" t="str">
            <v>FY26-P16</v>
          </cell>
        </row>
        <row r="40">
          <cell r="D40" t="str">
            <v xml:space="preserve">        FY26-P17</v>
          </cell>
          <cell r="L40" t="str">
            <v>51P1</v>
          </cell>
        </row>
        <row r="41">
          <cell r="D41" t="str">
            <v xml:space="preserve">        FY26-P18</v>
          </cell>
          <cell r="L41" t="str">
            <v>603C</v>
          </cell>
        </row>
        <row r="42">
          <cell r="D42" t="str">
            <v xml:space="preserve">        FY26-P19</v>
          </cell>
          <cell r="L42" t="str">
            <v>51P1</v>
          </cell>
        </row>
        <row r="43">
          <cell r="D43" t="str">
            <v xml:space="preserve">        FY26-P20</v>
          </cell>
          <cell r="L43" t="str">
            <v>51P1</v>
          </cell>
        </row>
        <row r="44">
          <cell r="D44" t="str">
            <v xml:space="preserve">        FY26-P21</v>
          </cell>
          <cell r="L44" t="str">
            <v>61B2</v>
          </cell>
        </row>
        <row r="45">
          <cell r="D45" t="str">
            <v xml:space="preserve">        FY26-P22</v>
          </cell>
          <cell r="L45" t="str">
            <v>51P1</v>
          </cell>
        </row>
        <row r="46">
          <cell r="D46" t="str">
            <v xml:space="preserve">        FY27-P23</v>
          </cell>
          <cell r="L46" t="str">
            <v>51P1</v>
          </cell>
        </row>
        <row r="47">
          <cell r="D47" t="str">
            <v xml:space="preserve">        FY26-P24</v>
          </cell>
          <cell r="L47" t="str">
            <v>51P1</v>
          </cell>
        </row>
        <row r="48">
          <cell r="D48" t="str">
            <v xml:space="preserve">        FY26-P25</v>
          </cell>
          <cell r="L48" t="str">
            <v>61C2</v>
          </cell>
        </row>
        <row r="49">
          <cell r="D49" t="str">
            <v xml:space="preserve">        FY27-P03&amp;04</v>
          </cell>
          <cell r="L49" t="str">
            <v>51P1</v>
          </cell>
        </row>
        <row r="50">
          <cell r="D50" t="str">
            <v xml:space="preserve">        FY27-P05</v>
          </cell>
          <cell r="L50" t="str">
            <v>51P1</v>
          </cell>
        </row>
        <row r="51">
          <cell r="D51" t="str">
            <v xml:space="preserve">    FY27-P16</v>
          </cell>
        </row>
        <row r="52">
          <cell r="D52" t="str">
            <v xml:space="preserve">    FY27-P06&amp;07</v>
          </cell>
          <cell r="L52" t="str">
            <v>51P1</v>
          </cell>
        </row>
        <row r="53">
          <cell r="D53" t="str">
            <v xml:space="preserve">    FY26-P26</v>
          </cell>
          <cell r="L53" t="str">
            <v>51P1</v>
          </cell>
        </row>
        <row r="54">
          <cell r="D54" t="str">
            <v xml:space="preserve">        FY25-P18&amp;19&amp;20</v>
          </cell>
          <cell r="L54" t="str">
            <v>688H</v>
          </cell>
        </row>
        <row r="55">
          <cell r="D55" t="str">
            <v xml:space="preserve">        FY27-P01&amp;P02</v>
          </cell>
          <cell r="L55" t="str">
            <v>51P1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5E77-AE3E-4F73-AA0A-00D128751F15}">
  <sheetPr filterMode="1"/>
  <dimension ref="A1:K65"/>
  <sheetViews>
    <sheetView tabSelected="1" workbookViewId="0">
      <selection activeCell="F47" sqref="F47"/>
    </sheetView>
  </sheetViews>
  <sheetFormatPr defaultRowHeight="12.75"/>
  <cols>
    <col min="1" max="1" width="29.85546875" customWidth="1"/>
    <col min="2" max="2" width="58.5703125" customWidth="1"/>
    <col min="3" max="3" width="23" customWidth="1"/>
    <col min="4" max="4" width="28" customWidth="1"/>
    <col min="5" max="5" width="16" style="39" customWidth="1"/>
    <col min="6" max="6" width="15.28515625" style="39" customWidth="1"/>
    <col min="7" max="7" width="13.85546875" style="39" customWidth="1"/>
    <col min="8" max="8" width="14.140625" customWidth="1"/>
  </cols>
  <sheetData>
    <row r="1" spans="1:11" ht="15">
      <c r="A1" s="38" t="s">
        <v>0</v>
      </c>
      <c r="B1" s="38" t="s">
        <v>1</v>
      </c>
      <c r="C1" s="38" t="s">
        <v>2</v>
      </c>
      <c r="D1" s="38" t="s">
        <v>3</v>
      </c>
      <c r="E1" s="37" t="s">
        <v>2</v>
      </c>
      <c r="F1" s="37" t="s">
        <v>4</v>
      </c>
      <c r="G1" s="37" t="s">
        <v>5</v>
      </c>
      <c r="H1" s="36" t="s">
        <v>6</v>
      </c>
      <c r="I1" s="37" t="s">
        <v>2</v>
      </c>
      <c r="J1" s="37" t="s">
        <v>4</v>
      </c>
      <c r="K1" s="37" t="s">
        <v>5</v>
      </c>
    </row>
    <row r="2" spans="1:11" ht="15" hidden="1">
      <c r="A2" s="1" t="s">
        <v>7</v>
      </c>
      <c r="B2" s="1" t="s">
        <v>8</v>
      </c>
      <c r="C2" s="1" t="s">
        <v>9</v>
      </c>
      <c r="D2" s="1" t="s">
        <v>10</v>
      </c>
      <c r="E2" s="27"/>
      <c r="F2" s="27"/>
      <c r="G2" s="27"/>
    </row>
    <row r="3" spans="1:11" ht="15" hidden="1">
      <c r="A3" s="1" t="s">
        <v>11</v>
      </c>
      <c r="B3" s="1" t="s">
        <v>12</v>
      </c>
      <c r="C3" s="1" t="s">
        <v>9</v>
      </c>
      <c r="D3" s="1" t="s">
        <v>10</v>
      </c>
      <c r="E3" s="27"/>
      <c r="F3" s="27"/>
      <c r="G3" s="27"/>
    </row>
    <row r="4" spans="1:11" ht="15" hidden="1">
      <c r="A4" s="1" t="s">
        <v>13</v>
      </c>
      <c r="B4" s="1" t="s">
        <v>14</v>
      </c>
      <c r="C4" s="1" t="s">
        <v>9</v>
      </c>
      <c r="D4" s="1" t="s">
        <v>10</v>
      </c>
      <c r="E4" s="35" t="s">
        <v>15</v>
      </c>
      <c r="F4" s="35" t="s">
        <v>15</v>
      </c>
      <c r="G4" s="35" t="s">
        <v>15</v>
      </c>
      <c r="H4">
        <f>_xlfn.XLOOKUP(A4,[1]Master!D:D,[1]Master!L:L,"Not Found")</f>
        <v>2303</v>
      </c>
    </row>
    <row r="5" spans="1:11" ht="15" hidden="1">
      <c r="A5" s="1" t="s">
        <v>16</v>
      </c>
      <c r="B5" s="1" t="s">
        <v>17</v>
      </c>
      <c r="C5" s="1" t="s">
        <v>18</v>
      </c>
      <c r="D5" s="1" t="s">
        <v>10</v>
      </c>
      <c r="E5" s="12" t="s">
        <v>19</v>
      </c>
      <c r="F5" s="12" t="s">
        <v>20</v>
      </c>
      <c r="G5" s="12" t="s">
        <v>21</v>
      </c>
      <c r="H5" s="5" t="s">
        <v>22</v>
      </c>
    </row>
    <row r="6" spans="1:11" ht="15" hidden="1">
      <c r="A6" s="1" t="s">
        <v>23</v>
      </c>
      <c r="B6" s="1" t="s">
        <v>24</v>
      </c>
      <c r="C6" s="1" t="s">
        <v>25</v>
      </c>
      <c r="D6" s="1" t="s">
        <v>10</v>
      </c>
      <c r="E6" t="s">
        <v>26</v>
      </c>
      <c r="F6" s="1" t="s">
        <v>27</v>
      </c>
      <c r="G6" s="1" t="s">
        <v>28</v>
      </c>
      <c r="H6" s="16" t="s">
        <v>29</v>
      </c>
    </row>
    <row r="7" spans="1:11" ht="15" hidden="1">
      <c r="A7" s="1" t="s">
        <v>30</v>
      </c>
      <c r="B7" s="1" t="s">
        <v>31</v>
      </c>
      <c r="C7" s="1" t="s">
        <v>32</v>
      </c>
      <c r="D7" s="1" t="s">
        <v>10</v>
      </c>
      <c r="E7"/>
      <c r="F7"/>
      <c r="G7"/>
      <c r="H7" s="5" t="s">
        <v>33</v>
      </c>
    </row>
    <row r="8" spans="1:11" ht="15" hidden="1">
      <c r="A8" s="1" t="s">
        <v>34</v>
      </c>
      <c r="B8" s="1" t="s">
        <v>35</v>
      </c>
      <c r="C8" s="1" t="s">
        <v>32</v>
      </c>
      <c r="D8" s="1" t="s">
        <v>10</v>
      </c>
      <c r="E8" s="21" t="s">
        <v>36</v>
      </c>
      <c r="F8" s="21" t="s">
        <v>37</v>
      </c>
      <c r="G8" s="21" t="s">
        <v>38</v>
      </c>
      <c r="H8" t="str">
        <f>_xlfn.XLOOKUP(A8,[1]Master!D:D,[1]Master!L:L,"Not Found")</f>
        <v>682D</v>
      </c>
    </row>
    <row r="9" spans="1:11" ht="15" hidden="1">
      <c r="A9" s="1" t="s">
        <v>39</v>
      </c>
      <c r="B9" s="1" t="s">
        <v>40</v>
      </c>
      <c r="C9" s="1" t="s">
        <v>32</v>
      </c>
      <c r="D9" s="1" t="s">
        <v>10</v>
      </c>
      <c r="E9" s="21" t="s">
        <v>41</v>
      </c>
      <c r="F9" s="21" t="s">
        <v>42</v>
      </c>
      <c r="G9" s="21" t="s">
        <v>43</v>
      </c>
      <c r="H9" t="str">
        <f>_xlfn.XLOOKUP(A9,[1]Master!D:D,[1]Master!L:L,"Not Found")</f>
        <v>682D</v>
      </c>
    </row>
    <row r="10" spans="1:11" ht="15" hidden="1">
      <c r="A10" s="1" t="s">
        <v>44</v>
      </c>
      <c r="B10" s="1" t="s">
        <v>45</v>
      </c>
      <c r="C10" s="1" t="s">
        <v>46</v>
      </c>
      <c r="D10" s="1" t="s">
        <v>10</v>
      </c>
      <c r="E10" s="1" t="s">
        <v>47</v>
      </c>
      <c r="F10" s="1" t="s">
        <v>48</v>
      </c>
      <c r="G10" s="1" t="s">
        <v>49</v>
      </c>
      <c r="H10" s="22" t="s">
        <v>50</v>
      </c>
    </row>
    <row r="11" spans="1:11" ht="25.5" hidden="1">
      <c r="A11" s="1" t="s">
        <v>51</v>
      </c>
      <c r="B11" s="1" t="s">
        <v>52</v>
      </c>
      <c r="C11" s="1" t="s">
        <v>53</v>
      </c>
      <c r="D11" s="1" t="s">
        <v>54</v>
      </c>
      <c r="E11" s="47" t="s">
        <v>55</v>
      </c>
      <c r="F11" s="46" t="s">
        <v>56</v>
      </c>
      <c r="G11" s="46" t="s">
        <v>57</v>
      </c>
      <c r="H11" t="s">
        <v>58</v>
      </c>
      <c r="I11" s="46">
        <v>6785</v>
      </c>
      <c r="J11" s="46" t="s">
        <v>59</v>
      </c>
      <c r="K11" s="46">
        <v>6212</v>
      </c>
    </row>
    <row r="12" spans="1:11" ht="15">
      <c r="A12" s="1" t="s">
        <v>60</v>
      </c>
      <c r="B12" s="1" t="s">
        <v>61</v>
      </c>
      <c r="C12" s="1" t="s">
        <v>60</v>
      </c>
      <c r="D12" s="1" t="s">
        <v>62</v>
      </c>
      <c r="E12" s="39" t="s">
        <v>63</v>
      </c>
      <c r="F12" s="40" t="s">
        <v>64</v>
      </c>
      <c r="G12" s="40" t="s">
        <v>65</v>
      </c>
      <c r="H12" t="str">
        <f>_xlfn.XLOOKUP(A12,[1]Master!D:D,[1]Master!L:L,"Not Found")</f>
        <v>Not Found</v>
      </c>
      <c r="I12" s="46">
        <v>6064</v>
      </c>
      <c r="J12" s="46" t="s">
        <v>66</v>
      </c>
      <c r="K12" s="46">
        <v>6211</v>
      </c>
    </row>
    <row r="13" spans="1:11" ht="15" hidden="1">
      <c r="A13" s="1" t="s">
        <v>67</v>
      </c>
      <c r="B13" s="1" t="s">
        <v>68</v>
      </c>
      <c r="C13" s="1" t="s">
        <v>60</v>
      </c>
      <c r="E13" s="1" t="s">
        <v>69</v>
      </c>
      <c r="F13" s="1" t="s">
        <v>70</v>
      </c>
      <c r="G13" s="1" t="s">
        <v>71</v>
      </c>
      <c r="H13" s="34">
        <v>6064</v>
      </c>
    </row>
    <row r="14" spans="1:11" ht="15">
      <c r="A14" s="1" t="s">
        <v>72</v>
      </c>
      <c r="B14" s="1" t="s">
        <v>73</v>
      </c>
      <c r="C14" s="1" t="s">
        <v>60</v>
      </c>
      <c r="D14" s="1" t="s">
        <v>62</v>
      </c>
      <c r="E14" s="41" t="s">
        <v>74</v>
      </c>
      <c r="F14" s="41" t="s">
        <v>75</v>
      </c>
      <c r="G14" s="42" t="s">
        <v>76</v>
      </c>
      <c r="H14">
        <f>_xlfn.XLOOKUP(A14,[1]Master!D:D,[1]Master!L:L,"Not Found")</f>
        <v>6061</v>
      </c>
      <c r="I14" s="46">
        <v>6061</v>
      </c>
      <c r="J14" s="46" t="s">
        <v>77</v>
      </c>
      <c r="K14" s="46">
        <v>6211</v>
      </c>
    </row>
    <row r="15" spans="1:11" ht="15" hidden="1">
      <c r="A15" s="1" t="s">
        <v>78</v>
      </c>
      <c r="B15" s="1" t="s">
        <v>79</v>
      </c>
      <c r="C15" s="1" t="s">
        <v>60</v>
      </c>
      <c r="D15" s="1" t="s">
        <v>10</v>
      </c>
      <c r="E15" s="33" t="s">
        <v>74</v>
      </c>
      <c r="F15" s="33" t="s">
        <v>75</v>
      </c>
      <c r="G15" s="33" t="s">
        <v>76</v>
      </c>
      <c r="H15">
        <f>_xlfn.XLOOKUP(A15,[1]Master!D:D,[1]Master!L:L,"Not Found")</f>
        <v>6061</v>
      </c>
    </row>
    <row r="16" spans="1:11" ht="15">
      <c r="A16" s="1" t="s">
        <v>80</v>
      </c>
      <c r="B16" s="1" t="s">
        <v>81</v>
      </c>
      <c r="C16" s="1" t="s">
        <v>80</v>
      </c>
      <c r="D16" s="1" t="s">
        <v>62</v>
      </c>
      <c r="E16" s="43" t="s">
        <v>82</v>
      </c>
      <c r="F16" s="43" t="s">
        <v>83</v>
      </c>
      <c r="G16" s="43" t="s">
        <v>84</v>
      </c>
      <c r="H16" t="str">
        <f>_xlfn.XLOOKUP(A16,[1]Master!D:D,[1]Master!L:L,"Not Found")</f>
        <v>Not Found</v>
      </c>
      <c r="I16" s="46">
        <v>6034</v>
      </c>
      <c r="J16" s="1" t="s">
        <v>85</v>
      </c>
      <c r="K16" s="46">
        <v>6211</v>
      </c>
    </row>
    <row r="17" spans="1:11" ht="15" hidden="1">
      <c r="A17" s="1" t="s">
        <v>86</v>
      </c>
      <c r="B17" s="1" t="s">
        <v>87</v>
      </c>
      <c r="C17" s="1" t="s">
        <v>80</v>
      </c>
      <c r="D17" s="1" t="s">
        <v>10</v>
      </c>
      <c r="E17" s="28" t="s">
        <v>88</v>
      </c>
      <c r="F17" s="28" t="s">
        <v>89</v>
      </c>
      <c r="G17" s="28" t="s">
        <v>90</v>
      </c>
      <c r="H17">
        <f>_xlfn.XLOOKUP(A17,[1]Master!D:D,[1]Master!L:L,"Not Found")</f>
        <v>6031</v>
      </c>
    </row>
    <row r="18" spans="1:11" ht="25.5" hidden="1">
      <c r="A18" s="1" t="s">
        <v>91</v>
      </c>
      <c r="B18" s="1" t="s">
        <v>92</v>
      </c>
      <c r="C18" s="1" t="s">
        <v>80</v>
      </c>
      <c r="D18" s="1" t="s">
        <v>10</v>
      </c>
      <c r="E18" s="32" t="s">
        <v>93</v>
      </c>
      <c r="F18" s="28" t="s">
        <v>94</v>
      </c>
      <c r="G18" s="28" t="s">
        <v>95</v>
      </c>
      <c r="H18">
        <f>_xlfn.XLOOKUP(A18,[1]Master!D:D,[1]Master!L:L,"Not Found")</f>
        <v>6031</v>
      </c>
    </row>
    <row r="19" spans="1:11" ht="15" hidden="1">
      <c r="A19" s="1" t="s">
        <v>96</v>
      </c>
      <c r="B19" s="1" t="s">
        <v>97</v>
      </c>
      <c r="C19" s="1" t="s">
        <v>80</v>
      </c>
      <c r="D19" s="1" t="s">
        <v>10</v>
      </c>
      <c r="E19" s="31" t="s">
        <v>98</v>
      </c>
      <c r="F19" s="31" t="s">
        <v>99</v>
      </c>
      <c r="G19" s="31" t="s">
        <v>100</v>
      </c>
      <c r="H19" s="30">
        <v>6031</v>
      </c>
    </row>
    <row r="20" spans="1:11" ht="25.5" hidden="1">
      <c r="A20" s="1" t="s">
        <v>101</v>
      </c>
      <c r="B20" s="1" t="s">
        <v>102</v>
      </c>
      <c r="C20" s="1" t="s">
        <v>80</v>
      </c>
      <c r="D20" s="1" t="s">
        <v>10</v>
      </c>
      <c r="E20" s="29" t="s">
        <v>103</v>
      </c>
      <c r="F20" s="28" t="s">
        <v>104</v>
      </c>
      <c r="G20" s="28" t="s">
        <v>105</v>
      </c>
      <c r="H20">
        <f>_xlfn.XLOOKUP(A20,[1]Master!D:D,[1]Master!L:L,"Not Found")</f>
        <v>6031</v>
      </c>
    </row>
    <row r="21" spans="1:11" ht="15" hidden="1">
      <c r="A21" s="1" t="s">
        <v>106</v>
      </c>
      <c r="B21" s="1" t="s">
        <v>107</v>
      </c>
      <c r="C21" s="1" t="s">
        <v>80</v>
      </c>
      <c r="D21" s="1" t="s">
        <v>10</v>
      </c>
      <c r="E21" s="28" t="s">
        <v>108</v>
      </c>
      <c r="F21" s="28" t="s">
        <v>109</v>
      </c>
      <c r="G21" s="28" t="s">
        <v>110</v>
      </c>
      <c r="H21">
        <f>_xlfn.XLOOKUP(A21,[1]Master!D:D,[1]Master!L:L,"Not Found")</f>
        <v>6031</v>
      </c>
    </row>
    <row r="22" spans="1:11" ht="15" hidden="1">
      <c r="A22" s="1" t="s">
        <v>111</v>
      </c>
      <c r="B22" s="1" t="s">
        <v>112</v>
      </c>
      <c r="C22" s="1" t="s">
        <v>80</v>
      </c>
      <c r="D22" s="1" t="s">
        <v>10</v>
      </c>
      <c r="E22" s="27" t="s">
        <v>113</v>
      </c>
      <c r="F22" s="27" t="s">
        <v>114</v>
      </c>
      <c r="G22" s="28" t="s">
        <v>115</v>
      </c>
      <c r="H22" s="5" t="s">
        <v>116</v>
      </c>
    </row>
    <row r="23" spans="1:11" ht="15" hidden="1">
      <c r="A23" s="1" t="s">
        <v>117</v>
      </c>
      <c r="B23" s="1" t="s">
        <v>118</v>
      </c>
      <c r="C23" s="1" t="s">
        <v>119</v>
      </c>
      <c r="D23" s="1" t="s">
        <v>10</v>
      </c>
      <c r="E23" s="27" t="s">
        <v>120</v>
      </c>
      <c r="F23" s="10" t="s">
        <v>121</v>
      </c>
      <c r="G23" s="10" t="s">
        <v>122</v>
      </c>
      <c r="H23" s="5">
        <v>6051</v>
      </c>
    </row>
    <row r="24" spans="1:11" ht="15" hidden="1">
      <c r="A24" s="1" t="s">
        <v>123</v>
      </c>
      <c r="B24" s="1" t="s">
        <v>124</v>
      </c>
      <c r="C24" s="1" t="s">
        <v>119</v>
      </c>
      <c r="D24" s="1" t="s">
        <v>10</v>
      </c>
      <c r="E24" s="21" t="s">
        <v>125</v>
      </c>
      <c r="F24" s="21" t="s">
        <v>126</v>
      </c>
      <c r="G24" s="21" t="s">
        <v>127</v>
      </c>
      <c r="H24">
        <f>_xlfn.XLOOKUP(A24,[1]Master!D:D,[1]Master!L:L,"Not Found")</f>
        <v>6057</v>
      </c>
    </row>
    <row r="25" spans="1:11" ht="15" hidden="1">
      <c r="A25" s="1" t="s">
        <v>128</v>
      </c>
      <c r="B25" s="1" t="s">
        <v>129</v>
      </c>
      <c r="C25" s="1" t="s">
        <v>130</v>
      </c>
      <c r="D25" s="1" t="s">
        <v>131</v>
      </c>
      <c r="E25" s="26"/>
      <c r="F25" s="26"/>
      <c r="G25" s="26"/>
      <c r="H25" t="str">
        <f>_xlfn.XLOOKUP(A25,[1]Master!D:D,[1]Master!L:L,"Not Found")</f>
        <v>Not Found</v>
      </c>
    </row>
    <row r="26" spans="1:11" ht="15" hidden="1">
      <c r="A26" s="1" t="s">
        <v>132</v>
      </c>
      <c r="B26" s="1" t="s">
        <v>133</v>
      </c>
      <c r="C26" s="1" t="s">
        <v>130</v>
      </c>
      <c r="D26" s="1" t="s">
        <v>131</v>
      </c>
      <c r="E26" s="26"/>
      <c r="F26" s="26"/>
      <c r="G26" s="26"/>
      <c r="H26" t="str">
        <f>_xlfn.XLOOKUP(A26,[1]Master!D:D,[1]Master!L:L,"Not Found")</f>
        <v>Not Found</v>
      </c>
    </row>
    <row r="27" spans="1:11" ht="15" hidden="1">
      <c r="A27" s="1" t="s">
        <v>134</v>
      </c>
      <c r="B27" s="1" t="s">
        <v>135</v>
      </c>
      <c r="C27" s="1" t="s">
        <v>130</v>
      </c>
      <c r="D27" s="1" t="s">
        <v>131</v>
      </c>
      <c r="E27" s="3"/>
      <c r="F27" s="3"/>
      <c r="G27" s="3"/>
      <c r="H27" t="str">
        <f>_xlfn.XLOOKUP(A27,[1]Master!D:D,[1]Master!L:L,"Not Found")</f>
        <v>Not Found</v>
      </c>
    </row>
    <row r="28" spans="1:11" ht="15" hidden="1">
      <c r="A28" s="1" t="s">
        <v>136</v>
      </c>
      <c r="B28" s="1" t="s">
        <v>137</v>
      </c>
      <c r="C28" s="1" t="s">
        <v>130</v>
      </c>
      <c r="D28" s="1" t="s">
        <v>131</v>
      </c>
      <c r="E28" s="3"/>
      <c r="F28" s="3"/>
      <c r="G28" s="3"/>
      <c r="H28" t="str">
        <f>_xlfn.XLOOKUP(A28,[1]Master!D:D,[1]Master!L:L,"Not Found")</f>
        <v>Not Found</v>
      </c>
    </row>
    <row r="29" spans="1:11" ht="27" hidden="1">
      <c r="A29" s="1" t="s">
        <v>138</v>
      </c>
      <c r="B29" s="1" t="s">
        <v>139</v>
      </c>
      <c r="C29" s="1" t="s">
        <v>140</v>
      </c>
      <c r="D29" s="1" t="s">
        <v>10</v>
      </c>
      <c r="E29" s="13" t="s">
        <v>141</v>
      </c>
      <c r="F29" s="15" t="s">
        <v>142</v>
      </c>
      <c r="G29" s="14" t="s">
        <v>143</v>
      </c>
      <c r="H29" s="5" t="s">
        <v>144</v>
      </c>
    </row>
    <row r="30" spans="1:11" ht="15" hidden="1">
      <c r="A30" s="1" t="s">
        <v>145</v>
      </c>
      <c r="B30" s="1" t="s">
        <v>146</v>
      </c>
      <c r="C30" s="1" t="s">
        <v>140</v>
      </c>
      <c r="D30" s="1" t="s">
        <v>10</v>
      </c>
      <c r="E30" t="s">
        <v>147</v>
      </c>
      <c r="F30" s="6" t="s">
        <v>148</v>
      </c>
      <c r="G30" s="6" t="s">
        <v>149</v>
      </c>
      <c r="H30" s="5" t="s">
        <v>144</v>
      </c>
    </row>
    <row r="31" spans="1:11" ht="15" hidden="1">
      <c r="A31" s="1" t="s">
        <v>150</v>
      </c>
      <c r="B31" s="1" t="s">
        <v>151</v>
      </c>
      <c r="C31" s="1" t="s">
        <v>130</v>
      </c>
      <c r="D31" s="1" t="s">
        <v>131</v>
      </c>
      <c r="E31" s="26"/>
      <c r="F31" s="26"/>
      <c r="G31" s="26"/>
      <c r="H31" t="str">
        <f>_xlfn.XLOOKUP(A31,[1]Master!D:D,[1]Master!L:L,"Not Found")</f>
        <v>Not Found</v>
      </c>
    </row>
    <row r="32" spans="1:11" ht="15">
      <c r="A32" s="1" t="s">
        <v>46</v>
      </c>
      <c r="B32" s="1" t="s">
        <v>152</v>
      </c>
      <c r="C32" s="1" t="s">
        <v>46</v>
      </c>
      <c r="D32" s="1" t="s">
        <v>62</v>
      </c>
      <c r="F32" s="44"/>
      <c r="G32" s="44"/>
      <c r="H32" t="str">
        <f>_xlfn.XLOOKUP(A32,[1]Master!D:D,[1]Master!L:L,"Not Found")</f>
        <v>Not Found</v>
      </c>
      <c r="I32" s="46"/>
      <c r="J32" s="46"/>
      <c r="K32" s="46"/>
    </row>
    <row r="33" spans="1:11" ht="25.5" hidden="1">
      <c r="A33" s="1" t="s">
        <v>153</v>
      </c>
      <c r="B33" s="1" t="s">
        <v>154</v>
      </c>
      <c r="C33" s="1" t="s">
        <v>46</v>
      </c>
      <c r="D33" s="1" t="s">
        <v>10</v>
      </c>
      <c r="E33" s="25" t="s">
        <v>155</v>
      </c>
      <c r="F33" s="18" t="s">
        <v>48</v>
      </c>
      <c r="G33" s="18" t="s">
        <v>49</v>
      </c>
      <c r="H33">
        <f>_xlfn.XLOOKUP(A33,[1]Master!D:D,[1]Master!L:L,"Not Found")</f>
        <v>6885</v>
      </c>
    </row>
    <row r="34" spans="1:11" ht="15" hidden="1">
      <c r="A34" s="1" t="s">
        <v>156</v>
      </c>
      <c r="B34" s="1" t="s">
        <v>157</v>
      </c>
      <c r="C34" s="1" t="s">
        <v>46</v>
      </c>
      <c r="D34" s="1" t="s">
        <v>10</v>
      </c>
      <c r="E34" s="24" t="s">
        <v>158</v>
      </c>
      <c r="F34" s="24" t="s">
        <v>159</v>
      </c>
      <c r="G34" s="23" t="s">
        <v>160</v>
      </c>
      <c r="H34" s="22" t="s">
        <v>50</v>
      </c>
    </row>
    <row r="35" spans="1:11" ht="15" hidden="1">
      <c r="A35" s="1" t="s">
        <v>161</v>
      </c>
      <c r="B35" s="1" t="s">
        <v>162</v>
      </c>
      <c r="C35" s="1" t="s">
        <v>46</v>
      </c>
      <c r="D35" s="1" t="s">
        <v>10</v>
      </c>
      <c r="E35"/>
      <c r="F35" s="8"/>
      <c r="G35" s="8"/>
    </row>
    <row r="36" spans="1:11" ht="15" hidden="1">
      <c r="A36" s="1" t="s">
        <v>163</v>
      </c>
      <c r="B36" s="1" t="s">
        <v>164</v>
      </c>
      <c r="C36" s="1" t="s">
        <v>130</v>
      </c>
      <c r="D36" s="1" t="s">
        <v>131</v>
      </c>
      <c r="E36" s="4"/>
      <c r="F36" s="4"/>
      <c r="G36" s="4"/>
      <c r="H36" t="str">
        <f>_xlfn.XLOOKUP(A36,[1]Master!D:D,[1]Master!L:L,"Not Found")</f>
        <v>Not Found</v>
      </c>
    </row>
    <row r="37" spans="1:11" ht="15">
      <c r="A37" s="1" t="s">
        <v>165</v>
      </c>
      <c r="B37" s="1" t="s">
        <v>166</v>
      </c>
      <c r="C37" s="1" t="s">
        <v>165</v>
      </c>
      <c r="D37" s="1" t="s">
        <v>62</v>
      </c>
      <c r="E37" s="40" t="s">
        <v>167</v>
      </c>
      <c r="F37" s="45" t="s">
        <v>168</v>
      </c>
      <c r="G37" s="45" t="s">
        <v>169</v>
      </c>
      <c r="H37" t="str">
        <f>_xlfn.XLOOKUP(A37,[1]Master!D:D,[1]Master!L:L,"Not Found")</f>
        <v>Not Found</v>
      </c>
      <c r="I37" s="46">
        <v>9222</v>
      </c>
      <c r="J37" s="1" t="s">
        <v>170</v>
      </c>
      <c r="K37" s="46">
        <v>6211</v>
      </c>
    </row>
    <row r="38" spans="1:11" ht="15" hidden="1">
      <c r="A38" s="1" t="s">
        <v>171</v>
      </c>
      <c r="B38" s="1" t="s">
        <v>172</v>
      </c>
      <c r="C38" s="1" t="s">
        <v>165</v>
      </c>
      <c r="D38" s="1" t="s">
        <v>10</v>
      </c>
      <c r="E38" s="21" t="s">
        <v>173</v>
      </c>
      <c r="F38" s="21" t="s">
        <v>174</v>
      </c>
      <c r="G38" s="21" t="s">
        <v>175</v>
      </c>
      <c r="H38">
        <f>_xlfn.XLOOKUP(A38,[1]Master!D:D,[1]Master!L:L,"Not Found")</f>
        <v>9221</v>
      </c>
    </row>
    <row r="39" spans="1:11" ht="15" hidden="1">
      <c r="A39" s="1" t="s">
        <v>176</v>
      </c>
      <c r="B39" s="1" t="s">
        <v>177</v>
      </c>
      <c r="C39" s="1" t="s">
        <v>178</v>
      </c>
      <c r="D39" s="1" t="s">
        <v>10</v>
      </c>
      <c r="E39" s="1" t="s">
        <v>179</v>
      </c>
      <c r="F39" s="14" t="s">
        <v>180</v>
      </c>
      <c r="G39" s="14" t="s">
        <v>181</v>
      </c>
      <c r="H39" s="20" t="s">
        <v>182</v>
      </c>
    </row>
    <row r="40" spans="1:11" ht="25.5" hidden="1">
      <c r="A40" s="1" t="s">
        <v>183</v>
      </c>
      <c r="B40" s="1" t="s">
        <v>184</v>
      </c>
      <c r="C40" s="1" t="s">
        <v>53</v>
      </c>
      <c r="D40" s="1" t="s">
        <v>10</v>
      </c>
      <c r="E40" s="19" t="s">
        <v>185</v>
      </c>
      <c r="F40" s="18" t="s">
        <v>186</v>
      </c>
      <c r="G40" s="18" t="s">
        <v>187</v>
      </c>
      <c r="H40" t="str">
        <f>_xlfn.XLOOKUP(A40,[1]Master!D:D,[1]Master!L:L,"Not Found")</f>
        <v>678C</v>
      </c>
    </row>
    <row r="41" spans="1:11" ht="25.5" hidden="1">
      <c r="A41" s="1" t="s">
        <v>188</v>
      </c>
      <c r="B41" s="1" t="s">
        <v>189</v>
      </c>
      <c r="C41" s="1" t="s">
        <v>140</v>
      </c>
      <c r="D41" s="1" t="s">
        <v>10</v>
      </c>
      <c r="E41" s="7" t="s">
        <v>190</v>
      </c>
      <c r="F41" t="s">
        <v>191</v>
      </c>
      <c r="G41" s="17" t="s">
        <v>192</v>
      </c>
      <c r="H41" s="5" t="s">
        <v>144</v>
      </c>
    </row>
    <row r="42" spans="1:11" ht="38.25" hidden="1">
      <c r="A42" s="1" t="s">
        <v>193</v>
      </c>
      <c r="B42" s="1" t="s">
        <v>194</v>
      </c>
      <c r="C42" s="1" t="s">
        <v>140</v>
      </c>
      <c r="D42" s="1" t="s">
        <v>10</v>
      </c>
      <c r="E42" s="7" t="s">
        <v>195</v>
      </c>
      <c r="F42" s="13" t="s">
        <v>196</v>
      </c>
      <c r="G42" s="6" t="s">
        <v>192</v>
      </c>
      <c r="H42" s="5" t="s">
        <v>144</v>
      </c>
    </row>
    <row r="43" spans="1:11" ht="15" hidden="1">
      <c r="A43" s="1" t="s">
        <v>197</v>
      </c>
      <c r="B43" s="1" t="s">
        <v>198</v>
      </c>
      <c r="C43" s="1" t="s">
        <v>140</v>
      </c>
      <c r="D43" s="1" t="s">
        <v>10</v>
      </c>
      <c r="E43" t="s">
        <v>199</v>
      </c>
      <c r="F43" s="6" t="s">
        <v>200</v>
      </c>
      <c r="G43" s="6" t="s">
        <v>201</v>
      </c>
      <c r="H43" s="16" t="s">
        <v>144</v>
      </c>
    </row>
    <row r="44" spans="1:11" ht="27" hidden="1">
      <c r="A44" s="1" t="s">
        <v>202</v>
      </c>
      <c r="B44" s="1" t="s">
        <v>203</v>
      </c>
      <c r="C44" s="1" t="s">
        <v>140</v>
      </c>
      <c r="D44" s="1" t="s">
        <v>10</v>
      </c>
      <c r="E44" s="7" t="s">
        <v>204</v>
      </c>
      <c r="F44" s="15" t="s">
        <v>205</v>
      </c>
      <c r="G44" s="14" t="s">
        <v>206</v>
      </c>
      <c r="H44" t="str">
        <f>_xlfn.XLOOKUP(A44,[1]Master!D:D,[1]Master!L:L,"Not Found")</f>
        <v>Not Found</v>
      </c>
    </row>
    <row r="45" spans="1:11" ht="15" hidden="1">
      <c r="A45" s="1" t="s">
        <v>207</v>
      </c>
      <c r="B45" s="1" t="s">
        <v>208</v>
      </c>
      <c r="C45" s="1" t="s">
        <v>140</v>
      </c>
      <c r="D45" s="1" t="s">
        <v>10</v>
      </c>
      <c r="E45" s="8" t="s">
        <v>209</v>
      </c>
      <c r="F45" s="8"/>
      <c r="G45" s="8"/>
      <c r="H45" t="str">
        <f>_xlfn.XLOOKUP(A45,[1]Master!D:D,[1]Master!L:L,"Not Found")</f>
        <v>Not Found</v>
      </c>
    </row>
    <row r="46" spans="1:11" ht="15" hidden="1">
      <c r="A46" s="1" t="s">
        <v>210</v>
      </c>
      <c r="B46" s="1" t="s">
        <v>211</v>
      </c>
      <c r="C46" s="1" t="s">
        <v>140</v>
      </c>
      <c r="D46" s="1" t="s">
        <v>10</v>
      </c>
      <c r="E46" s="6" t="s">
        <v>212</v>
      </c>
      <c r="F46" s="14" t="s">
        <v>213</v>
      </c>
      <c r="G46" s="14" t="s">
        <v>214</v>
      </c>
      <c r="H46" t="str">
        <f>_xlfn.XLOOKUP(A46,[1]Master!D:D,[1]Master!L:L,"Not Found")</f>
        <v>Not Found</v>
      </c>
    </row>
    <row r="47" spans="1:11" ht="27" hidden="1">
      <c r="A47" s="1" t="s">
        <v>215</v>
      </c>
      <c r="B47" s="1" t="s">
        <v>216</v>
      </c>
      <c r="C47" s="1" t="s">
        <v>140</v>
      </c>
      <c r="D47" s="1" t="s">
        <v>10</v>
      </c>
      <c r="E47" t="s">
        <v>217</v>
      </c>
      <c r="F47" s="15" t="s">
        <v>218</v>
      </c>
      <c r="G47" s="14" t="s">
        <v>219</v>
      </c>
      <c r="H47" t="str">
        <f>_xlfn.XLOOKUP(A47,[1]Master!D:D,[1]Master!L:L,"Not Found")</f>
        <v>Not Found</v>
      </c>
    </row>
    <row r="48" spans="1:11" ht="15" hidden="1">
      <c r="A48" s="1" t="s">
        <v>220</v>
      </c>
      <c r="B48" s="1" t="s">
        <v>221</v>
      </c>
      <c r="C48" s="1" t="s">
        <v>140</v>
      </c>
      <c r="D48" s="1" t="s">
        <v>10</v>
      </c>
      <c r="E48" s="14" t="s">
        <v>222</v>
      </c>
      <c r="F48" s="14" t="s">
        <v>223</v>
      </c>
      <c r="G48" s="14" t="s">
        <v>224</v>
      </c>
      <c r="H48" s="5" t="s">
        <v>144</v>
      </c>
    </row>
    <row r="49" spans="1:11" ht="27" hidden="1">
      <c r="A49" s="1" t="s">
        <v>225</v>
      </c>
      <c r="B49" s="1" t="s">
        <v>226</v>
      </c>
      <c r="C49" s="1" t="s">
        <v>140</v>
      </c>
      <c r="D49" s="1" t="s">
        <v>10</v>
      </c>
      <c r="E49" s="7" t="s">
        <v>227</v>
      </c>
      <c r="F49" s="13" t="s">
        <v>228</v>
      </c>
      <c r="G49" s="6" t="s">
        <v>229</v>
      </c>
      <c r="H49" t="str">
        <f>_xlfn.XLOOKUP(A49,[1]Master!D:D,[1]Master!L:L,"Not Found")</f>
        <v>Not Found</v>
      </c>
    </row>
    <row r="50" spans="1:11" ht="15" hidden="1">
      <c r="A50" s="1" t="s">
        <v>230</v>
      </c>
      <c r="B50" s="1" t="s">
        <v>231</v>
      </c>
      <c r="C50" s="1" t="s">
        <v>140</v>
      </c>
      <c r="D50" s="1" t="s">
        <v>10</v>
      </c>
      <c r="E50"/>
      <c r="F50"/>
      <c r="G50"/>
      <c r="H50" t="str">
        <f>_xlfn.XLOOKUP(A50,[1]Master!D:D,[1]Master!L:L,"Not Found")</f>
        <v>Not Found</v>
      </c>
    </row>
    <row r="51" spans="1:11" ht="27" hidden="1">
      <c r="A51" s="1" t="s">
        <v>232</v>
      </c>
      <c r="B51" s="1" t="s">
        <v>233</v>
      </c>
      <c r="C51" s="1" t="s">
        <v>140</v>
      </c>
      <c r="D51" s="1" t="s">
        <v>10</v>
      </c>
      <c r="E51" s="7" t="s">
        <v>234</v>
      </c>
      <c r="F51" s="13" t="s">
        <v>235</v>
      </c>
      <c r="G51" s="6" t="s">
        <v>236</v>
      </c>
      <c r="H51" s="5" t="s">
        <v>144</v>
      </c>
    </row>
    <row r="52" spans="1:11" ht="15" hidden="1">
      <c r="A52" s="1" t="s">
        <v>237</v>
      </c>
      <c r="B52" s="1" t="s">
        <v>238</v>
      </c>
      <c r="C52" s="1" t="s">
        <v>130</v>
      </c>
      <c r="D52" s="1" t="s">
        <v>10</v>
      </c>
      <c r="E52"/>
      <c r="F52"/>
      <c r="G52"/>
      <c r="H52" t="str">
        <f>_xlfn.XLOOKUP(A52,[1]Master!D:D,[1]Master!L:L,"Not Found")</f>
        <v>Not Found</v>
      </c>
    </row>
    <row r="53" spans="1:11" ht="15" hidden="1">
      <c r="A53" s="1" t="s">
        <v>239</v>
      </c>
      <c r="B53" s="1" t="s">
        <v>240</v>
      </c>
      <c r="C53" s="1" t="s">
        <v>140</v>
      </c>
      <c r="D53" s="1" t="s">
        <v>10</v>
      </c>
      <c r="E53"/>
      <c r="F53" s="6" t="s">
        <v>241</v>
      </c>
      <c r="G53"/>
      <c r="H53" s="5" t="s">
        <v>144</v>
      </c>
    </row>
    <row r="54" spans="1:11" ht="15" hidden="1">
      <c r="A54" s="1" t="s">
        <v>242</v>
      </c>
      <c r="B54" s="1" t="s">
        <v>243</v>
      </c>
      <c r="C54" s="1" t="s">
        <v>244</v>
      </c>
      <c r="D54" s="1" t="s">
        <v>10</v>
      </c>
      <c r="E54" t="s">
        <v>245</v>
      </c>
      <c r="F54" s="6" t="s">
        <v>246</v>
      </c>
      <c r="G54" s="6" t="s">
        <v>247</v>
      </c>
      <c r="H54" t="str">
        <f>_xlfn.XLOOKUP(A54,[1]Master!D:D,[1]Master!L:L,"Not Found")</f>
        <v>51R1</v>
      </c>
    </row>
    <row r="55" spans="1:11" ht="27" hidden="1">
      <c r="A55" s="1" t="s">
        <v>248</v>
      </c>
      <c r="B55" s="1" t="s">
        <v>249</v>
      </c>
      <c r="C55" s="1" t="s">
        <v>250</v>
      </c>
      <c r="D55" s="1" t="s">
        <v>10</v>
      </c>
      <c r="E55" s="12" t="s">
        <v>251</v>
      </c>
      <c r="F55" s="11" t="s">
        <v>252</v>
      </c>
      <c r="G55" s="10" t="s">
        <v>253</v>
      </c>
      <c r="H55" s="5">
        <v>9361</v>
      </c>
    </row>
    <row r="56" spans="1:11" ht="15" hidden="1">
      <c r="A56" s="1" t="s">
        <v>254</v>
      </c>
      <c r="B56" s="1" t="s">
        <v>255</v>
      </c>
      <c r="C56" s="1" t="s">
        <v>130</v>
      </c>
      <c r="D56" s="1" t="s">
        <v>54</v>
      </c>
      <c r="H56" t="str">
        <f>_xlfn.XLOOKUP(A56,[1]Master!D:D,[1]Master!L:L,"Not Found")</f>
        <v>Not Found</v>
      </c>
      <c r="I56" s="46"/>
      <c r="J56" s="46"/>
      <c r="K56" s="46"/>
    </row>
    <row r="57" spans="1:11" ht="15" hidden="1">
      <c r="A57" s="1" t="s">
        <v>256</v>
      </c>
      <c r="B57" s="1" t="s">
        <v>257</v>
      </c>
      <c r="C57" s="1" t="s">
        <v>258</v>
      </c>
      <c r="D57" s="1" t="s">
        <v>54</v>
      </c>
      <c r="E57" s="39" t="s">
        <v>259</v>
      </c>
      <c r="F57" s="1" t="s">
        <v>260</v>
      </c>
      <c r="G57" s="1" t="s">
        <v>261</v>
      </c>
      <c r="H57" s="9" t="s">
        <v>262</v>
      </c>
      <c r="I57" s="46">
        <v>9712</v>
      </c>
      <c r="J57" s="46" t="s">
        <v>263</v>
      </c>
      <c r="K57" s="46">
        <v>6212</v>
      </c>
    </row>
    <row r="58" spans="1:11" ht="15">
      <c r="A58" s="1" t="s">
        <v>264</v>
      </c>
      <c r="B58" s="1" t="s">
        <v>265</v>
      </c>
      <c r="C58" s="1" t="s">
        <v>264</v>
      </c>
      <c r="D58" s="1" t="s">
        <v>62</v>
      </c>
      <c r="E58" s="39" t="s">
        <v>266</v>
      </c>
      <c r="F58" s="44" t="s">
        <v>267</v>
      </c>
      <c r="G58" s="44" t="s">
        <v>268</v>
      </c>
      <c r="H58" t="str">
        <f>_xlfn.XLOOKUP(A58,[1]Master!D:D,[1]Master!L:L,"Not Found")</f>
        <v>Not Found</v>
      </c>
      <c r="I58" s="46">
        <v>9845</v>
      </c>
      <c r="J58" s="46" t="s">
        <v>269</v>
      </c>
      <c r="K58" s="46">
        <v>6211</v>
      </c>
    </row>
    <row r="59" spans="1:11" ht="15" hidden="1">
      <c r="A59" s="1" t="s">
        <v>270</v>
      </c>
      <c r="B59" s="1" t="s">
        <v>271</v>
      </c>
      <c r="C59" s="1" t="s">
        <v>264</v>
      </c>
      <c r="D59" s="1" t="s">
        <v>10</v>
      </c>
      <c r="E59"/>
      <c r="F59"/>
      <c r="G59"/>
      <c r="H59">
        <f>_xlfn.XLOOKUP(A59,[1]Master!D:D,[1]Master!L:L,"Not Found")</f>
        <v>9844</v>
      </c>
    </row>
    <row r="60" spans="1:11" ht="38.25" hidden="1">
      <c r="A60" s="1" t="s">
        <v>272</v>
      </c>
      <c r="B60" s="1" t="s">
        <v>273</v>
      </c>
      <c r="C60" s="1" t="s">
        <v>264</v>
      </c>
      <c r="D60" s="1" t="s">
        <v>10</v>
      </c>
      <c r="E60" s="7" t="s">
        <v>274</v>
      </c>
      <c r="F60" s="6" t="s">
        <v>275</v>
      </c>
      <c r="G60" s="6" t="s">
        <v>276</v>
      </c>
      <c r="H60" s="5" t="s">
        <v>277</v>
      </c>
    </row>
    <row r="61" spans="1:11" ht="15" hidden="1">
      <c r="A61" s="1" t="s">
        <v>278</v>
      </c>
      <c r="B61" s="1" t="s">
        <v>273</v>
      </c>
      <c r="C61" s="1" t="s">
        <v>130</v>
      </c>
      <c r="D61" s="1" t="s">
        <v>10</v>
      </c>
      <c r="E61"/>
      <c r="F61"/>
      <c r="G61"/>
      <c r="H61" s="5" t="s">
        <v>277</v>
      </c>
    </row>
    <row r="62" spans="1:11" ht="15">
      <c r="A62" s="1" t="s">
        <v>279</v>
      </c>
      <c r="B62" s="1" t="s">
        <v>280</v>
      </c>
      <c r="C62" s="1" t="s">
        <v>281</v>
      </c>
      <c r="D62" s="1" t="s">
        <v>62</v>
      </c>
      <c r="E62" s="40"/>
      <c r="F62" s="45"/>
      <c r="G62" s="40"/>
      <c r="H62" t="str">
        <f>_xlfn.XLOOKUP(A62,[1]Master!D:D,[1]Master!L:L,"Not Found")</f>
        <v>Not Found</v>
      </c>
      <c r="I62" s="46"/>
      <c r="J62" s="46"/>
      <c r="K62" s="46"/>
    </row>
    <row r="63" spans="1:11" ht="15">
      <c r="A63" s="1" t="s">
        <v>282</v>
      </c>
      <c r="B63" s="1" t="s">
        <v>283</v>
      </c>
      <c r="C63" s="1" t="s">
        <v>283</v>
      </c>
      <c r="D63" s="1" t="s">
        <v>62</v>
      </c>
      <c r="E63" s="1" t="s">
        <v>284</v>
      </c>
      <c r="F63" s="1" t="s">
        <v>285</v>
      </c>
      <c r="G63" s="1" t="s">
        <v>286</v>
      </c>
      <c r="H63" t="str">
        <f>_xlfn.XLOOKUP(A63,[1]Master!D:D,[1]Master!L:L,"Not Found")</f>
        <v>Not Found</v>
      </c>
      <c r="I63" s="46">
        <v>6752</v>
      </c>
      <c r="J63" s="1" t="s">
        <v>287</v>
      </c>
      <c r="K63" s="46">
        <v>6211</v>
      </c>
    </row>
    <row r="64" spans="1:11" ht="15">
      <c r="A64" s="1" t="s">
        <v>288</v>
      </c>
      <c r="B64" s="1" t="s">
        <v>289</v>
      </c>
      <c r="C64" s="1" t="s">
        <v>289</v>
      </c>
      <c r="D64" s="1" t="s">
        <v>62</v>
      </c>
      <c r="E64" s="1" t="s">
        <v>290</v>
      </c>
      <c r="F64" s="2" t="s">
        <v>291</v>
      </c>
      <c r="G64" s="2" t="s">
        <v>292</v>
      </c>
      <c r="H64" t="str">
        <f>_xlfn.XLOOKUP(A64,[1]Master!D:D,[1]Master!L:L,"Not Found")</f>
        <v>Not Found</v>
      </c>
      <c r="I64" s="46">
        <v>6182</v>
      </c>
      <c r="J64" s="1" t="s">
        <v>293</v>
      </c>
      <c r="K64" s="46">
        <v>6211</v>
      </c>
    </row>
    <row r="65" spans="1:8" ht="15" hidden="1">
      <c r="A65" s="1" t="s">
        <v>294</v>
      </c>
      <c r="B65" s="1" t="s">
        <v>295</v>
      </c>
      <c r="C65" s="1" t="s">
        <v>130</v>
      </c>
      <c r="D65" s="1" t="s">
        <v>10</v>
      </c>
      <c r="E65"/>
      <c r="F65"/>
      <c r="G65"/>
      <c r="H65" t="str">
        <f>_xlfn.XLOOKUP(A65,[1]Master!D:D,[1]Master!L:L,"Not Found")</f>
        <v>Not Found</v>
      </c>
    </row>
  </sheetData>
  <autoFilter ref="A1:H65" xr:uid="{81160483-D9DF-4A55-A9E1-7A93F0D22AE0}">
    <filterColumn colId="3">
      <filters>
        <filter val="Win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Srashti Soni</dc:creator>
  <cp:keywords/>
  <dc:description/>
  <cp:lastModifiedBy>Guest User</cp:lastModifiedBy>
  <cp:revision/>
  <dcterms:created xsi:type="dcterms:W3CDTF">2026-07-30T10:19:18Z</dcterms:created>
  <dcterms:modified xsi:type="dcterms:W3CDTF">2026-07-31T06:29:00Z</dcterms:modified>
  <cp:category/>
  <cp:contentStatus/>
</cp:coreProperties>
</file>