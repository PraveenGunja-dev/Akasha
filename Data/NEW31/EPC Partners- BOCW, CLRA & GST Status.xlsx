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daniltd.sharepoint.com/sites/AGEL_Solar_Project/Shared Documents/PMO-EPC-Khavda/77. All Statutory Documents/"/>
    </mc:Choice>
  </mc:AlternateContent>
  <xr:revisionPtr revIDLastSave="243" documentId="11_03C1876094414C484ACE85D6314935D8C8E130F6" xr6:coauthVersionLast="47" xr6:coauthVersionMax="47" xr10:uidLastSave="{DED33878-A1B6-4FD3-B0E4-1EEDA8194782}"/>
  <bookViews>
    <workbookView xWindow="-108" yWindow="-108" windowWidth="23256" windowHeight="12456" xr2:uid="{00000000-000D-0000-FFFF-FFFF00000000}"/>
  </bookViews>
  <sheets>
    <sheet name="BOCW" sheetId="1" r:id="rId1"/>
    <sheet name="Sheet3" sheetId="4" state="hidden" r:id="rId2"/>
    <sheet name="GST Certificate" sheetId="5" r:id="rId3"/>
    <sheet name="CLR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</calcChain>
</file>

<file path=xl/sharedStrings.xml><?xml version="1.0" encoding="utf-8"?>
<sst xmlns="http://schemas.openxmlformats.org/spreadsheetml/2006/main" count="423" uniqueCount="67">
  <si>
    <t>Sr.No</t>
  </si>
  <si>
    <t>EPC Partner</t>
  </si>
  <si>
    <t>Project</t>
  </si>
  <si>
    <t>SPV</t>
  </si>
  <si>
    <t>Plot</t>
  </si>
  <si>
    <t>FTC Date</t>
  </si>
  <si>
    <t>Amaraja</t>
  </si>
  <si>
    <t>TPL-D PPA</t>
  </si>
  <si>
    <t>Merchant</t>
  </si>
  <si>
    <t>PPA</t>
  </si>
  <si>
    <t>ARE8L</t>
  </si>
  <si>
    <t>A02</t>
  </si>
  <si>
    <t>MSEDCL PPA Ph-1</t>
  </si>
  <si>
    <t>ARE55L</t>
  </si>
  <si>
    <t>Group - Cement (Hybrid - Solar)</t>
  </si>
  <si>
    <t>Group</t>
  </si>
  <si>
    <t>ACL</t>
  </si>
  <si>
    <t>A01</t>
  </si>
  <si>
    <t>Bondada</t>
  </si>
  <si>
    <t>MSEDCL PPA Ph-3</t>
  </si>
  <si>
    <t>AGE26AL</t>
  </si>
  <si>
    <t>S03</t>
  </si>
  <si>
    <t>AGEL Merchant (Solar) - TTE</t>
  </si>
  <si>
    <t>AE2L</t>
  </si>
  <si>
    <t>HILD</t>
  </si>
  <si>
    <t>SE14</t>
  </si>
  <si>
    <t>L&amp;T</t>
  </si>
  <si>
    <t>S02a</t>
  </si>
  <si>
    <t>MSEDCL PPA Ph-2</t>
  </si>
  <si>
    <t>S02b</t>
  </si>
  <si>
    <t>S01</t>
  </si>
  <si>
    <t>AE3L</t>
  </si>
  <si>
    <t>S10</t>
  </si>
  <si>
    <t>S&amp;W</t>
  </si>
  <si>
    <t>S09</t>
  </si>
  <si>
    <t>A18</t>
  </si>
  <si>
    <t>A15b</t>
  </si>
  <si>
    <t>Enrich</t>
  </si>
  <si>
    <t>SECI VIII PPA</t>
  </si>
  <si>
    <t>ASEJ6PL</t>
  </si>
  <si>
    <t>S07</t>
  </si>
  <si>
    <t>KPI Green</t>
  </si>
  <si>
    <t>MLP T1  PPA - BEST</t>
  </si>
  <si>
    <t>S06a</t>
  </si>
  <si>
    <t>PPA/Merchant</t>
  </si>
  <si>
    <t>Capacity (MW)</t>
  </si>
  <si>
    <t>Liscense Validity
Date</t>
  </si>
  <si>
    <t>ABG/CG</t>
  </si>
  <si>
    <t>ABG</t>
  </si>
  <si>
    <t>Work Commencement Date</t>
  </si>
  <si>
    <t>Checklist Barcode</t>
  </si>
  <si>
    <t>Amount</t>
  </si>
  <si>
    <t>8O1621005#5001478175</t>
  </si>
  <si>
    <t>8O1511005#5001478158</t>
  </si>
  <si>
    <t>Total Amount</t>
  </si>
  <si>
    <t>Adani Green Energy Limited</t>
  </si>
  <si>
    <t>Adani Renewable Enrgy 41 Limited</t>
  </si>
  <si>
    <t>Adani Green Energy Six Ltd</t>
  </si>
  <si>
    <t>Liscense Obtaine on</t>
  </si>
  <si>
    <t>Offline Letter  to ALC</t>
  </si>
  <si>
    <t xml:space="preserve">Obtained </t>
  </si>
  <si>
    <t>Shall be taken after Oct-26</t>
  </si>
  <si>
    <t>License Taken in name of Entity</t>
  </si>
  <si>
    <t>Not Obtained</t>
  </si>
  <si>
    <t>Project Deffered</t>
  </si>
  <si>
    <t>Note - As, per discussion with Site HR Team Portal is expected to commence from 15-July-26</t>
  </si>
  <si>
    <t>Obtained or Not
on Gujarat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</si>
</sst>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>
    <font>
      <sz val="11"/>
      <color theme="1"/>
      <name val="Calibri"/>
      <family val="2"/>
      <scheme val="minor"/>
    </font>
    <font>
      <b/>
      <sz val="9"/>
      <color rgb="FF000000"/>
      <name val="Adani Regular"/>
    </font>
    <font>
      <sz val="9"/>
      <color rgb="FF000000"/>
      <name val="Adani Regular"/>
    </font>
    <font>
      <b/>
      <sz val="11"/>
      <color theme="1"/>
      <name val="Calibri"/>
      <family val="2"/>
      <scheme val="minor"/>
    </font>
    <font>
      <sz val="9"/>
      <color rgb="FFFF0000"/>
      <name val="Adani Regula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4" fontId="3" fillId="3" borderId="1" xfId="0" applyNumberFormat="1" applyFont="1" applyFill="1" applyBorder="1"/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 wrapText="1" readingOrder="1"/>
    </xf>
    <xf numFmtId="164" fontId="1" fillId="2" borderId="1" xfId="0" applyNumberFormat="1" applyFont="1" applyFill="1" applyBorder="1" applyAlignment="1">
      <alignment horizontal="center" vertical="center" wrapText="1" readingOrder="1"/>
    </xf>
    <xf numFmtId="164" fontId="2" fillId="0" borderId="2" xfId="0" applyNumberFormat="1" applyFont="1" applyBorder="1" applyAlignment="1">
      <alignment horizontal="center" vertical="center" wrapText="1" readingOrder="1"/>
    </xf>
    <xf numFmtId="164" fontId="2" fillId="0" borderId="3" xfId="0" applyNumberFormat="1" applyFont="1" applyBorder="1" applyAlignment="1">
      <alignment horizontal="center" vertical="center" wrapText="1" readingOrder="1"/>
    </xf>
    <xf numFmtId="164" fontId="2" fillId="0" borderId="4" xfId="0" applyNumberFormat="1" applyFont="1" applyBorder="1" applyAlignment="1">
      <alignment horizontal="center" vertical="center" wrapText="1" readingOrder="1"/>
    </xf>
    <xf numFmtId="164" fontId="4" fillId="0" borderId="2" xfId="0" applyNumberFormat="1" applyFont="1" applyBorder="1" applyAlignment="1">
      <alignment horizontal="center" vertical="center" wrapText="1" readingOrder="1"/>
    </xf>
    <xf numFmtId="164" fontId="4" fillId="0" borderId="3" xfId="0" applyNumberFormat="1" applyFont="1" applyBorder="1" applyAlignment="1">
      <alignment horizontal="center" vertical="center" wrapText="1" readingOrder="1"/>
    </xf>
    <xf numFmtId="164" fontId="4" fillId="0" borderId="4" xfId="0" applyNumberFormat="1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="107" zoomScaleNormal="115" workbookViewId="0">
      <selection activeCell="H28" sqref="H28"/>
    </sheetView>
  </sheetViews>
  <sheetFormatPr defaultRowHeight="14.4"/>
  <cols>
    <col min="2" max="2" width="11.44140625" customWidth="1"/>
    <col min="3" max="3" width="25.77734375" bestFit="1" customWidth="1"/>
    <col min="4" max="4" width="12.77734375" customWidth="1"/>
    <col min="8" max="8" width="12" style="1" customWidth="1"/>
    <col min="9" max="9" width="18.33203125" style="1" customWidth="1"/>
    <col min="10" max="11" width="15.109375" style="1" customWidth="1"/>
  </cols>
  <sheetData>
    <row r="1" spans="1:11">
      <c r="A1" s="18" t="s">
        <v>0</v>
      </c>
      <c r="B1" s="18" t="s">
        <v>1</v>
      </c>
      <c r="C1" s="18" t="s">
        <v>2</v>
      </c>
      <c r="D1" s="18" t="s">
        <v>44</v>
      </c>
      <c r="E1" s="18" t="s">
        <v>3</v>
      </c>
      <c r="F1" s="18" t="s">
        <v>4</v>
      </c>
      <c r="G1" s="18" t="s">
        <v>45</v>
      </c>
      <c r="H1" s="11" t="s">
        <v>5</v>
      </c>
      <c r="I1" s="11" t="s">
        <v>49</v>
      </c>
      <c r="J1" s="11" t="s">
        <v>46</v>
      </c>
      <c r="K1" s="11" t="s">
        <v>62</v>
      </c>
    </row>
    <row r="2" spans="1:11">
      <c r="A2" s="18"/>
      <c r="B2" s="18"/>
      <c r="C2" s="18"/>
      <c r="D2" s="18"/>
      <c r="E2" s="18"/>
      <c r="F2" s="18"/>
      <c r="G2" s="18"/>
      <c r="H2" s="11"/>
      <c r="I2" s="11"/>
      <c r="J2" s="11"/>
      <c r="K2" s="11"/>
    </row>
    <row r="3" spans="1:11">
      <c r="A3" s="18"/>
      <c r="B3" s="18"/>
      <c r="C3" s="18"/>
      <c r="D3" s="18"/>
      <c r="E3" s="18"/>
      <c r="F3" s="18"/>
      <c r="G3" s="18"/>
      <c r="H3" s="11"/>
      <c r="I3" s="11"/>
      <c r="J3" s="11"/>
      <c r="K3" s="11"/>
    </row>
    <row r="4" spans="1:11">
      <c r="A4" s="4">
        <v>1</v>
      </c>
      <c r="B4" s="19" t="s">
        <v>6</v>
      </c>
      <c r="C4" s="5" t="s">
        <v>7</v>
      </c>
      <c r="D4" s="4" t="s">
        <v>9</v>
      </c>
      <c r="E4" s="4" t="s">
        <v>10</v>
      </c>
      <c r="F4" s="19" t="s">
        <v>11</v>
      </c>
      <c r="G4" s="4">
        <v>150</v>
      </c>
      <c r="H4" s="6">
        <v>46189</v>
      </c>
      <c r="I4" s="12">
        <v>45981</v>
      </c>
      <c r="J4" s="12">
        <v>46346</v>
      </c>
      <c r="K4" s="12" t="s">
        <v>55</v>
      </c>
    </row>
    <row r="5" spans="1:11">
      <c r="A5" s="4">
        <v>2</v>
      </c>
      <c r="B5" s="19"/>
      <c r="C5" s="5" t="s">
        <v>12</v>
      </c>
      <c r="D5" s="4" t="s">
        <v>9</v>
      </c>
      <c r="E5" s="4" t="s">
        <v>13</v>
      </c>
      <c r="F5" s="19"/>
      <c r="G5" s="4">
        <v>125</v>
      </c>
      <c r="H5" s="6">
        <v>46220</v>
      </c>
      <c r="I5" s="13"/>
      <c r="J5" s="13"/>
      <c r="K5" s="13"/>
    </row>
    <row r="6" spans="1:11">
      <c r="A6" s="4">
        <v>3</v>
      </c>
      <c r="B6" s="19" t="s">
        <v>6</v>
      </c>
      <c r="C6" s="5" t="s">
        <v>14</v>
      </c>
      <c r="D6" s="4" t="s">
        <v>15</v>
      </c>
      <c r="E6" s="4" t="s">
        <v>16</v>
      </c>
      <c r="F6" s="19" t="s">
        <v>17</v>
      </c>
      <c r="G6" s="4">
        <v>50</v>
      </c>
      <c r="H6" s="6">
        <v>46159</v>
      </c>
      <c r="I6" s="13"/>
      <c r="J6" s="13"/>
      <c r="K6" s="13"/>
    </row>
    <row r="7" spans="1:11">
      <c r="A7" s="4">
        <v>4</v>
      </c>
      <c r="B7" s="19"/>
      <c r="C7" s="5" t="s">
        <v>12</v>
      </c>
      <c r="D7" s="4" t="s">
        <v>9</v>
      </c>
      <c r="E7" s="4" t="s">
        <v>13</v>
      </c>
      <c r="F7" s="19"/>
      <c r="G7" s="4">
        <v>150</v>
      </c>
      <c r="H7" s="6">
        <v>46220</v>
      </c>
      <c r="I7" s="14"/>
      <c r="J7" s="14"/>
      <c r="K7" s="14"/>
    </row>
    <row r="8" spans="1:11" ht="22.8">
      <c r="A8" s="4">
        <v>5</v>
      </c>
      <c r="B8" s="4" t="s">
        <v>18</v>
      </c>
      <c r="C8" s="5" t="s">
        <v>19</v>
      </c>
      <c r="D8" s="4" t="s">
        <v>9</v>
      </c>
      <c r="E8" s="4" t="s">
        <v>13</v>
      </c>
      <c r="F8" s="4" t="s">
        <v>21</v>
      </c>
      <c r="G8" s="4">
        <v>150</v>
      </c>
      <c r="H8" s="6">
        <v>46463</v>
      </c>
      <c r="I8" s="6">
        <v>45991</v>
      </c>
      <c r="J8" s="6">
        <v>46326</v>
      </c>
      <c r="K8" s="6" t="s">
        <v>57</v>
      </c>
    </row>
    <row r="9" spans="1:11" ht="24" customHeight="1">
      <c r="A9" s="4">
        <v>6</v>
      </c>
      <c r="B9" s="4" t="s">
        <v>18</v>
      </c>
      <c r="C9" s="5" t="s">
        <v>19</v>
      </c>
      <c r="D9" s="4" t="s">
        <v>9</v>
      </c>
      <c r="E9" s="4" t="s">
        <v>13</v>
      </c>
      <c r="F9" s="4" t="s">
        <v>21</v>
      </c>
      <c r="G9" s="4">
        <v>150</v>
      </c>
      <c r="H9" s="6">
        <v>46524</v>
      </c>
      <c r="I9" s="12" t="s">
        <v>64</v>
      </c>
      <c r="J9" s="12" t="s">
        <v>61</v>
      </c>
      <c r="K9" s="12" t="s">
        <v>64</v>
      </c>
    </row>
    <row r="10" spans="1:11">
      <c r="A10" s="4">
        <v>7</v>
      </c>
      <c r="B10" s="4" t="s">
        <v>18</v>
      </c>
      <c r="C10" s="5" t="s">
        <v>22</v>
      </c>
      <c r="D10" s="4" t="s">
        <v>8</v>
      </c>
      <c r="E10" s="4" t="s">
        <v>23</v>
      </c>
      <c r="F10" s="4" t="s">
        <v>21</v>
      </c>
      <c r="G10" s="4">
        <v>150</v>
      </c>
      <c r="H10" s="6">
        <v>46524</v>
      </c>
      <c r="I10" s="13"/>
      <c r="J10" s="13"/>
      <c r="K10" s="13"/>
    </row>
    <row r="11" spans="1:11">
      <c r="A11" s="4">
        <v>8</v>
      </c>
      <c r="B11" s="4" t="s">
        <v>18</v>
      </c>
      <c r="C11" s="5" t="s">
        <v>19</v>
      </c>
      <c r="D11" s="4" t="s">
        <v>9</v>
      </c>
      <c r="E11" s="4" t="s">
        <v>13</v>
      </c>
      <c r="F11" s="4" t="s">
        <v>21</v>
      </c>
      <c r="G11" s="4">
        <v>200</v>
      </c>
      <c r="H11" s="6">
        <v>46524</v>
      </c>
      <c r="I11" s="14"/>
      <c r="J11" s="14"/>
      <c r="K11" s="14"/>
    </row>
    <row r="12" spans="1:11">
      <c r="A12" s="4">
        <v>9</v>
      </c>
      <c r="B12" s="19" t="s">
        <v>24</v>
      </c>
      <c r="C12" s="5" t="s">
        <v>19</v>
      </c>
      <c r="D12" s="4" t="s">
        <v>9</v>
      </c>
      <c r="E12" s="4" t="s">
        <v>13</v>
      </c>
      <c r="F12" s="19" t="s">
        <v>25</v>
      </c>
      <c r="G12" s="4">
        <v>300</v>
      </c>
      <c r="H12" s="6">
        <v>46646</v>
      </c>
      <c r="I12" s="10" t="s">
        <v>63</v>
      </c>
      <c r="J12" s="10" t="s">
        <v>63</v>
      </c>
      <c r="K12" s="10" t="s">
        <v>63</v>
      </c>
    </row>
    <row r="13" spans="1:11">
      <c r="A13" s="4">
        <v>10</v>
      </c>
      <c r="B13" s="19"/>
      <c r="C13" s="5" t="s">
        <v>19</v>
      </c>
      <c r="D13" s="4" t="s">
        <v>9</v>
      </c>
      <c r="E13" s="4" t="s">
        <v>13</v>
      </c>
      <c r="F13" s="19"/>
      <c r="G13" s="4">
        <v>200</v>
      </c>
      <c r="H13" s="6">
        <v>46616</v>
      </c>
      <c r="I13" s="10" t="s">
        <v>63</v>
      </c>
      <c r="J13" s="10" t="s">
        <v>63</v>
      </c>
      <c r="K13" s="10" t="s">
        <v>63</v>
      </c>
    </row>
    <row r="14" spans="1:11">
      <c r="A14" s="4">
        <v>11</v>
      </c>
      <c r="B14" s="4" t="s">
        <v>26</v>
      </c>
      <c r="C14" s="5" t="s">
        <v>12</v>
      </c>
      <c r="D14" s="4" t="s">
        <v>9</v>
      </c>
      <c r="E14" s="4" t="s">
        <v>13</v>
      </c>
      <c r="F14" s="4" t="s">
        <v>27</v>
      </c>
      <c r="G14" s="4">
        <v>175</v>
      </c>
      <c r="H14" s="6">
        <v>46432</v>
      </c>
      <c r="I14" s="12">
        <v>45962</v>
      </c>
      <c r="J14" s="12">
        <v>46371</v>
      </c>
      <c r="K14" s="12" t="s">
        <v>57</v>
      </c>
    </row>
    <row r="15" spans="1:11">
      <c r="A15" s="4">
        <v>12</v>
      </c>
      <c r="B15" s="4" t="s">
        <v>26</v>
      </c>
      <c r="C15" s="5" t="s">
        <v>28</v>
      </c>
      <c r="D15" s="4" t="s">
        <v>9</v>
      </c>
      <c r="E15" s="4" t="s">
        <v>13</v>
      </c>
      <c r="F15" s="4" t="s">
        <v>27</v>
      </c>
      <c r="G15" s="4">
        <v>50</v>
      </c>
      <c r="H15" s="6">
        <v>46404</v>
      </c>
      <c r="I15" s="13"/>
      <c r="J15" s="13"/>
      <c r="K15" s="13"/>
    </row>
    <row r="16" spans="1:11">
      <c r="A16" s="4">
        <v>13</v>
      </c>
      <c r="B16" s="4" t="s">
        <v>26</v>
      </c>
      <c r="C16" s="5" t="s">
        <v>19</v>
      </c>
      <c r="D16" s="4" t="s">
        <v>9</v>
      </c>
      <c r="E16" s="4" t="s">
        <v>13</v>
      </c>
      <c r="F16" s="4" t="s">
        <v>29</v>
      </c>
      <c r="G16" s="4">
        <v>112.5</v>
      </c>
      <c r="H16" s="6">
        <v>46432</v>
      </c>
      <c r="I16" s="13"/>
      <c r="J16" s="13"/>
      <c r="K16" s="13"/>
    </row>
    <row r="17" spans="1:11">
      <c r="A17" s="4">
        <v>14</v>
      </c>
      <c r="B17" s="19" t="s">
        <v>26</v>
      </c>
      <c r="C17" s="5" t="s">
        <v>12</v>
      </c>
      <c r="D17" s="4" t="s">
        <v>9</v>
      </c>
      <c r="E17" s="4" t="s">
        <v>13</v>
      </c>
      <c r="F17" s="19" t="s">
        <v>30</v>
      </c>
      <c r="G17" s="4">
        <v>100</v>
      </c>
      <c r="H17" s="6">
        <v>46404</v>
      </c>
      <c r="I17" s="13"/>
      <c r="J17" s="13"/>
      <c r="K17" s="13"/>
    </row>
    <row r="18" spans="1:11">
      <c r="A18" s="4">
        <v>15</v>
      </c>
      <c r="B18" s="19"/>
      <c r="C18" s="5" t="s">
        <v>28</v>
      </c>
      <c r="D18" s="4" t="s">
        <v>9</v>
      </c>
      <c r="E18" s="4" t="s">
        <v>13</v>
      </c>
      <c r="F18" s="19"/>
      <c r="G18" s="4">
        <v>200</v>
      </c>
      <c r="H18" s="6">
        <v>46432</v>
      </c>
      <c r="I18" s="13"/>
      <c r="J18" s="13"/>
      <c r="K18" s="13"/>
    </row>
    <row r="19" spans="1:11">
      <c r="A19" s="4">
        <v>16</v>
      </c>
      <c r="B19" s="4" t="s">
        <v>26</v>
      </c>
      <c r="C19" s="5" t="s">
        <v>22</v>
      </c>
      <c r="D19" s="4" t="s">
        <v>8</v>
      </c>
      <c r="E19" s="4" t="s">
        <v>31</v>
      </c>
      <c r="F19" s="4" t="s">
        <v>30</v>
      </c>
      <c r="G19" s="4">
        <v>75</v>
      </c>
      <c r="H19" s="6">
        <v>46463</v>
      </c>
      <c r="I19" s="13"/>
      <c r="J19" s="13"/>
      <c r="K19" s="13"/>
    </row>
    <row r="20" spans="1:11">
      <c r="A20" s="4">
        <v>17</v>
      </c>
      <c r="B20" s="4" t="s">
        <v>26</v>
      </c>
      <c r="C20" s="5" t="s">
        <v>19</v>
      </c>
      <c r="D20" s="4" t="s">
        <v>9</v>
      </c>
      <c r="E20" s="4" t="s">
        <v>13</v>
      </c>
      <c r="F20" s="4" t="s">
        <v>32</v>
      </c>
      <c r="G20" s="4">
        <v>287.5</v>
      </c>
      <c r="H20" s="6">
        <v>46522</v>
      </c>
      <c r="I20" s="14"/>
      <c r="J20" s="14"/>
      <c r="K20" s="14"/>
    </row>
    <row r="21" spans="1:11">
      <c r="A21" s="4">
        <v>18</v>
      </c>
      <c r="B21" s="4" t="s">
        <v>33</v>
      </c>
      <c r="C21" s="5" t="s">
        <v>12</v>
      </c>
      <c r="D21" s="4" t="s">
        <v>9</v>
      </c>
      <c r="E21" s="4" t="s">
        <v>13</v>
      </c>
      <c r="F21" s="4" t="s">
        <v>34</v>
      </c>
      <c r="G21" s="4">
        <v>400</v>
      </c>
      <c r="H21" s="6">
        <v>46463</v>
      </c>
      <c r="I21" s="15">
        <v>45991</v>
      </c>
      <c r="J21" s="15">
        <v>46418</v>
      </c>
      <c r="K21" s="15" t="s">
        <v>56</v>
      </c>
    </row>
    <row r="22" spans="1:11">
      <c r="A22" s="4">
        <v>19</v>
      </c>
      <c r="B22" s="4" t="s">
        <v>33</v>
      </c>
      <c r="C22" s="5" t="s">
        <v>28</v>
      </c>
      <c r="D22" s="4" t="s">
        <v>9</v>
      </c>
      <c r="E22" s="4" t="s">
        <v>13</v>
      </c>
      <c r="F22" s="4" t="s">
        <v>35</v>
      </c>
      <c r="G22" s="4">
        <v>600</v>
      </c>
      <c r="H22" s="6">
        <v>46463</v>
      </c>
      <c r="I22" s="16"/>
      <c r="J22" s="16"/>
      <c r="K22" s="16"/>
    </row>
    <row r="23" spans="1:11">
      <c r="A23" s="4">
        <v>20</v>
      </c>
      <c r="B23" s="4" t="s">
        <v>33</v>
      </c>
      <c r="C23" s="5" t="s">
        <v>12</v>
      </c>
      <c r="D23" s="4" t="s">
        <v>9</v>
      </c>
      <c r="E23" s="4" t="s">
        <v>13</v>
      </c>
      <c r="F23" s="4" t="s">
        <v>36</v>
      </c>
      <c r="G23" s="4">
        <v>50</v>
      </c>
      <c r="H23" s="6">
        <v>46189</v>
      </c>
      <c r="I23" s="17"/>
      <c r="J23" s="17"/>
      <c r="K23" s="17"/>
    </row>
    <row r="24" spans="1:11" ht="22.8">
      <c r="A24" s="4">
        <v>21</v>
      </c>
      <c r="B24" s="4" t="s">
        <v>37</v>
      </c>
      <c r="C24" s="5" t="s">
        <v>38</v>
      </c>
      <c r="D24" s="4" t="s">
        <v>9</v>
      </c>
      <c r="E24" s="4" t="s">
        <v>39</v>
      </c>
      <c r="F24" s="4" t="s">
        <v>40</v>
      </c>
      <c r="G24" s="4">
        <v>300</v>
      </c>
      <c r="H24" s="6">
        <v>46404</v>
      </c>
      <c r="I24" s="6">
        <v>46050</v>
      </c>
      <c r="J24" s="6">
        <v>46310</v>
      </c>
      <c r="K24" s="6" t="s">
        <v>57</v>
      </c>
    </row>
    <row r="25" spans="1:11">
      <c r="A25" s="4">
        <v>22</v>
      </c>
      <c r="B25" s="4" t="s">
        <v>41</v>
      </c>
      <c r="C25" s="5" t="s">
        <v>38</v>
      </c>
      <c r="D25" s="4" t="s">
        <v>9</v>
      </c>
      <c r="E25" s="4" t="s">
        <v>39</v>
      </c>
      <c r="F25" s="4" t="s">
        <v>40</v>
      </c>
      <c r="G25" s="4">
        <v>300</v>
      </c>
      <c r="H25" s="6">
        <v>46404</v>
      </c>
      <c r="I25" s="12">
        <v>46014</v>
      </c>
      <c r="J25" s="12">
        <v>46477</v>
      </c>
      <c r="K25" s="12" t="s">
        <v>57</v>
      </c>
    </row>
    <row r="26" spans="1:11">
      <c r="A26" s="4">
        <v>23</v>
      </c>
      <c r="B26" s="4" t="s">
        <v>41</v>
      </c>
      <c r="C26" s="5" t="s">
        <v>42</v>
      </c>
      <c r="D26" s="4" t="s">
        <v>9</v>
      </c>
      <c r="E26" s="4" t="s">
        <v>20</v>
      </c>
      <c r="F26" s="4" t="s">
        <v>43</v>
      </c>
      <c r="G26" s="4">
        <v>234</v>
      </c>
      <c r="H26" s="6">
        <v>46432</v>
      </c>
      <c r="I26" s="14"/>
      <c r="J26" s="14"/>
      <c r="K26" s="14"/>
    </row>
  </sheetData>
  <mergeCells count="34">
    <mergeCell ref="B4:B5"/>
    <mergeCell ref="F4:F5"/>
    <mergeCell ref="A1:A3"/>
    <mergeCell ref="B1:B3"/>
    <mergeCell ref="F1:F3"/>
    <mergeCell ref="C1:C3"/>
    <mergeCell ref="D1:D3"/>
    <mergeCell ref="E1:E3"/>
    <mergeCell ref="B17:B18"/>
    <mergeCell ref="F17:F18"/>
    <mergeCell ref="B12:B13"/>
    <mergeCell ref="F12:F13"/>
    <mergeCell ref="B6:B7"/>
    <mergeCell ref="F6:F7"/>
    <mergeCell ref="G1:G3"/>
    <mergeCell ref="H1:H3"/>
    <mergeCell ref="J1:J3"/>
    <mergeCell ref="I1:I3"/>
    <mergeCell ref="I4:I7"/>
    <mergeCell ref="J4:J7"/>
    <mergeCell ref="J9:J11"/>
    <mergeCell ref="I25:I26"/>
    <mergeCell ref="J25:J26"/>
    <mergeCell ref="I14:I20"/>
    <mergeCell ref="J14:J20"/>
    <mergeCell ref="I21:I23"/>
    <mergeCell ref="J21:J23"/>
    <mergeCell ref="I9:I11"/>
    <mergeCell ref="K1:K3"/>
    <mergeCell ref="K4:K7"/>
    <mergeCell ref="K14:K20"/>
    <mergeCell ref="K21:K23"/>
    <mergeCell ref="K25:K26"/>
    <mergeCell ref="K9:K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E83ED-4D64-46A4-BA8D-471717FDD16E}">
  <dimension ref="A1:D5"/>
  <sheetViews>
    <sheetView showGridLines="0" workbookViewId="0">
      <selection sqref="A1:D4"/>
    </sheetView>
  </sheetViews>
  <sheetFormatPr defaultRowHeight="14.4"/>
  <cols>
    <col min="1" max="1" width="10.5546875" bestFit="1" customWidth="1"/>
    <col min="3" max="3" width="21.44140625" bestFit="1" customWidth="1"/>
    <col min="4" max="4" width="13.33203125" bestFit="1" customWidth="1"/>
  </cols>
  <sheetData>
    <row r="1" spans="1:4">
      <c r="A1" s="9" t="s">
        <v>1</v>
      </c>
      <c r="B1" s="9" t="s">
        <v>47</v>
      </c>
      <c r="C1" s="9" t="s">
        <v>50</v>
      </c>
      <c r="D1" s="9" t="s">
        <v>51</v>
      </c>
    </row>
    <row r="2" spans="1:4">
      <c r="A2" s="2" t="s">
        <v>18</v>
      </c>
      <c r="B2" s="2" t="s">
        <v>48</v>
      </c>
      <c r="C2" s="2" t="s">
        <v>52</v>
      </c>
      <c r="D2" s="3">
        <v>51556010.939999998</v>
      </c>
    </row>
    <row r="3" spans="1:4">
      <c r="A3" s="2" t="s">
        <v>18</v>
      </c>
      <c r="B3" s="2" t="s">
        <v>48</v>
      </c>
      <c r="C3" s="2" t="s">
        <v>53</v>
      </c>
      <c r="D3" s="3">
        <v>155258932.61000001</v>
      </c>
    </row>
    <row r="4" spans="1:4">
      <c r="A4" s="2"/>
      <c r="B4" s="2"/>
      <c r="C4" s="8" t="s">
        <v>54</v>
      </c>
      <c r="D4" s="7">
        <f>SUM(D2:D3)</f>
        <v>206814943.55000001</v>
      </c>
    </row>
    <row r="5" spans="1:4">
      <c r="A5" s="2"/>
      <c r="B5" s="2"/>
      <c r="C5" s="2"/>
      <c r="D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22DB5-0396-4696-9139-2B92B35F20B3}">
  <dimension ref="A1:I26"/>
  <sheetViews>
    <sheetView showGridLines="0" workbookViewId="0">
      <selection activeCell="I4" sqref="I4"/>
    </sheetView>
  </sheetViews>
  <sheetFormatPr defaultRowHeight="14.4"/>
  <cols>
    <col min="2" max="2" width="11.44140625" customWidth="1"/>
    <col min="3" max="3" width="25.77734375" bestFit="1" customWidth="1"/>
    <col min="4" max="4" width="12.77734375" customWidth="1"/>
    <col min="8" max="8" width="12" style="1" customWidth="1"/>
    <col min="9" max="9" width="18.77734375" style="1" customWidth="1"/>
  </cols>
  <sheetData>
    <row r="1" spans="1:9">
      <c r="A1" s="18" t="s">
        <v>0</v>
      </c>
      <c r="B1" s="18" t="s">
        <v>1</v>
      </c>
      <c r="C1" s="18" t="s">
        <v>2</v>
      </c>
      <c r="D1" s="18" t="s">
        <v>44</v>
      </c>
      <c r="E1" s="18" t="s">
        <v>3</v>
      </c>
      <c r="F1" s="18" t="s">
        <v>4</v>
      </c>
      <c r="G1" s="18" t="s">
        <v>45</v>
      </c>
      <c r="H1" s="11" t="s">
        <v>5</v>
      </c>
      <c r="I1" s="11" t="s">
        <v>66</v>
      </c>
    </row>
    <row r="2" spans="1:9">
      <c r="A2" s="18"/>
      <c r="B2" s="18"/>
      <c r="C2" s="18"/>
      <c r="D2" s="18"/>
      <c r="E2" s="18"/>
      <c r="F2" s="18"/>
      <c r="G2" s="18"/>
      <c r="H2" s="11"/>
      <c r="I2" s="11"/>
    </row>
    <row r="3" spans="1:9">
      <c r="A3" s="18"/>
      <c r="B3" s="18"/>
      <c r="C3" s="18"/>
      <c r="D3" s="18"/>
      <c r="E3" s="18"/>
      <c r="F3" s="18"/>
      <c r="G3" s="18"/>
      <c r="H3" s="11"/>
      <c r="I3" s="11"/>
    </row>
    <row r="4" spans="1:9">
      <c r="A4" s="4">
        <v>1</v>
      </c>
      <c r="B4" s="19" t="s">
        <v>6</v>
      </c>
      <c r="C4" s="5" t="s">
        <v>7</v>
      </c>
      <c r="D4" s="4" t="s">
        <v>9</v>
      </c>
      <c r="E4" s="4" t="s">
        <v>10</v>
      </c>
      <c r="F4" s="19" t="s">
        <v>11</v>
      </c>
      <c r="G4" s="4">
        <v>150</v>
      </c>
      <c r="H4" s="6">
        <v>46189</v>
      </c>
      <c r="I4" s="6" t="s">
        <v>60</v>
      </c>
    </row>
    <row r="5" spans="1:9">
      <c r="A5" s="4">
        <v>2</v>
      </c>
      <c r="B5" s="19"/>
      <c r="C5" s="5" t="s">
        <v>12</v>
      </c>
      <c r="D5" s="4" t="s">
        <v>9</v>
      </c>
      <c r="E5" s="4" t="s">
        <v>13</v>
      </c>
      <c r="F5" s="19"/>
      <c r="G5" s="4">
        <v>125</v>
      </c>
      <c r="H5" s="6">
        <v>46220</v>
      </c>
      <c r="I5" s="6" t="s">
        <v>60</v>
      </c>
    </row>
    <row r="6" spans="1:9">
      <c r="A6" s="4">
        <v>3</v>
      </c>
      <c r="B6" s="19" t="s">
        <v>6</v>
      </c>
      <c r="C6" s="5" t="s">
        <v>14</v>
      </c>
      <c r="D6" s="4" t="s">
        <v>15</v>
      </c>
      <c r="E6" s="4" t="s">
        <v>16</v>
      </c>
      <c r="F6" s="19" t="s">
        <v>17</v>
      </c>
      <c r="G6" s="4">
        <v>50</v>
      </c>
      <c r="H6" s="6">
        <v>46159</v>
      </c>
      <c r="I6" s="6" t="s">
        <v>60</v>
      </c>
    </row>
    <row r="7" spans="1:9">
      <c r="A7" s="4">
        <v>4</v>
      </c>
      <c r="B7" s="19"/>
      <c r="C7" s="5" t="s">
        <v>12</v>
      </c>
      <c r="D7" s="4" t="s">
        <v>9</v>
      </c>
      <c r="E7" s="4" t="s">
        <v>13</v>
      </c>
      <c r="F7" s="19"/>
      <c r="G7" s="4">
        <v>150</v>
      </c>
      <c r="H7" s="6">
        <v>46220</v>
      </c>
      <c r="I7" s="6" t="s">
        <v>60</v>
      </c>
    </row>
    <row r="8" spans="1:9">
      <c r="A8" s="4">
        <v>5</v>
      </c>
      <c r="B8" s="4" t="s">
        <v>18</v>
      </c>
      <c r="C8" s="5" t="s">
        <v>19</v>
      </c>
      <c r="D8" s="4" t="s">
        <v>9</v>
      </c>
      <c r="E8" s="4" t="s">
        <v>13</v>
      </c>
      <c r="F8" s="4" t="s">
        <v>21</v>
      </c>
      <c r="G8" s="4">
        <v>150</v>
      </c>
      <c r="H8" s="6">
        <v>46463</v>
      </c>
      <c r="I8" s="6" t="s">
        <v>60</v>
      </c>
    </row>
    <row r="9" spans="1:9">
      <c r="A9" s="4">
        <v>6</v>
      </c>
      <c r="B9" s="4" t="s">
        <v>18</v>
      </c>
      <c r="C9" s="5" t="s">
        <v>19</v>
      </c>
      <c r="D9" s="4" t="s">
        <v>9</v>
      </c>
      <c r="E9" s="4" t="s">
        <v>13</v>
      </c>
      <c r="F9" s="4" t="s">
        <v>21</v>
      </c>
      <c r="G9" s="4">
        <v>150</v>
      </c>
      <c r="H9" s="6">
        <v>46524</v>
      </c>
      <c r="I9" s="6" t="s">
        <v>60</v>
      </c>
    </row>
    <row r="10" spans="1:9">
      <c r="A10" s="4">
        <v>7</v>
      </c>
      <c r="B10" s="4" t="s">
        <v>18</v>
      </c>
      <c r="C10" s="5" t="s">
        <v>22</v>
      </c>
      <c r="D10" s="4" t="s">
        <v>8</v>
      </c>
      <c r="E10" s="4" t="s">
        <v>23</v>
      </c>
      <c r="F10" s="4" t="s">
        <v>21</v>
      </c>
      <c r="G10" s="4">
        <v>150</v>
      </c>
      <c r="H10" s="6">
        <v>46524</v>
      </c>
      <c r="I10" s="6" t="s">
        <v>60</v>
      </c>
    </row>
    <row r="11" spans="1:9">
      <c r="A11" s="4">
        <v>8</v>
      </c>
      <c r="B11" s="4" t="s">
        <v>18</v>
      </c>
      <c r="C11" s="5" t="s">
        <v>19</v>
      </c>
      <c r="D11" s="4" t="s">
        <v>9</v>
      </c>
      <c r="E11" s="4" t="s">
        <v>13</v>
      </c>
      <c r="F11" s="4" t="s">
        <v>21</v>
      </c>
      <c r="G11" s="4">
        <v>200</v>
      </c>
      <c r="H11" s="6">
        <v>46524</v>
      </c>
      <c r="I11" s="6" t="s">
        <v>60</v>
      </c>
    </row>
    <row r="12" spans="1:9">
      <c r="A12" s="4">
        <v>9</v>
      </c>
      <c r="B12" s="19" t="s">
        <v>24</v>
      </c>
      <c r="C12" s="5" t="s">
        <v>19</v>
      </c>
      <c r="D12" s="4" t="s">
        <v>9</v>
      </c>
      <c r="E12" s="4" t="s">
        <v>13</v>
      </c>
      <c r="F12" s="19" t="s">
        <v>25</v>
      </c>
      <c r="G12" s="4">
        <v>300</v>
      </c>
      <c r="H12" s="6">
        <v>46646</v>
      </c>
      <c r="I12" s="6" t="s">
        <v>60</v>
      </c>
    </row>
    <row r="13" spans="1:9">
      <c r="A13" s="4">
        <v>10</v>
      </c>
      <c r="B13" s="19"/>
      <c r="C13" s="5" t="s">
        <v>19</v>
      </c>
      <c r="D13" s="4" t="s">
        <v>9</v>
      </c>
      <c r="E13" s="4" t="s">
        <v>13</v>
      </c>
      <c r="F13" s="19"/>
      <c r="G13" s="4">
        <v>200</v>
      </c>
      <c r="H13" s="6">
        <v>46616</v>
      </c>
      <c r="I13" s="6" t="s">
        <v>60</v>
      </c>
    </row>
    <row r="14" spans="1:9">
      <c r="A14" s="4">
        <v>11</v>
      </c>
      <c r="B14" s="4" t="s">
        <v>26</v>
      </c>
      <c r="C14" s="5" t="s">
        <v>12</v>
      </c>
      <c r="D14" s="4" t="s">
        <v>9</v>
      </c>
      <c r="E14" s="4" t="s">
        <v>13</v>
      </c>
      <c r="F14" s="4" t="s">
        <v>27</v>
      </c>
      <c r="G14" s="4">
        <v>175</v>
      </c>
      <c r="H14" s="6">
        <v>46432</v>
      </c>
      <c r="I14" s="6" t="s">
        <v>60</v>
      </c>
    </row>
    <row r="15" spans="1:9">
      <c r="A15" s="4">
        <v>12</v>
      </c>
      <c r="B15" s="4" t="s">
        <v>26</v>
      </c>
      <c r="C15" s="5" t="s">
        <v>28</v>
      </c>
      <c r="D15" s="4" t="s">
        <v>9</v>
      </c>
      <c r="E15" s="4" t="s">
        <v>13</v>
      </c>
      <c r="F15" s="4" t="s">
        <v>27</v>
      </c>
      <c r="G15" s="4">
        <v>50</v>
      </c>
      <c r="H15" s="6">
        <v>46404</v>
      </c>
      <c r="I15" s="6" t="s">
        <v>60</v>
      </c>
    </row>
    <row r="16" spans="1:9">
      <c r="A16" s="4">
        <v>13</v>
      </c>
      <c r="B16" s="4" t="s">
        <v>26</v>
      </c>
      <c r="C16" s="5" t="s">
        <v>19</v>
      </c>
      <c r="D16" s="4" t="s">
        <v>9</v>
      </c>
      <c r="E16" s="4" t="s">
        <v>13</v>
      </c>
      <c r="F16" s="4" t="s">
        <v>29</v>
      </c>
      <c r="G16" s="4">
        <v>112.5</v>
      </c>
      <c r="H16" s="6">
        <v>46432</v>
      </c>
      <c r="I16" s="6" t="s">
        <v>60</v>
      </c>
    </row>
    <row r="17" spans="1:9">
      <c r="A17" s="4">
        <v>14</v>
      </c>
      <c r="B17" s="19" t="s">
        <v>26</v>
      </c>
      <c r="C17" s="5" t="s">
        <v>12</v>
      </c>
      <c r="D17" s="4" t="s">
        <v>9</v>
      </c>
      <c r="E17" s="4" t="s">
        <v>13</v>
      </c>
      <c r="F17" s="19" t="s">
        <v>30</v>
      </c>
      <c r="G17" s="4">
        <v>100</v>
      </c>
      <c r="H17" s="6">
        <v>46404</v>
      </c>
      <c r="I17" s="6" t="s">
        <v>60</v>
      </c>
    </row>
    <row r="18" spans="1:9">
      <c r="A18" s="4">
        <v>15</v>
      </c>
      <c r="B18" s="19"/>
      <c r="C18" s="5" t="s">
        <v>28</v>
      </c>
      <c r="D18" s="4" t="s">
        <v>9</v>
      </c>
      <c r="E18" s="4" t="s">
        <v>13</v>
      </c>
      <c r="F18" s="19"/>
      <c r="G18" s="4">
        <v>200</v>
      </c>
      <c r="H18" s="6">
        <v>46432</v>
      </c>
      <c r="I18" s="6" t="s">
        <v>60</v>
      </c>
    </row>
    <row r="19" spans="1:9">
      <c r="A19" s="4">
        <v>16</v>
      </c>
      <c r="B19" s="4" t="s">
        <v>26</v>
      </c>
      <c r="C19" s="5" t="s">
        <v>22</v>
      </c>
      <c r="D19" s="4" t="s">
        <v>8</v>
      </c>
      <c r="E19" s="4" t="s">
        <v>31</v>
      </c>
      <c r="F19" s="4" t="s">
        <v>30</v>
      </c>
      <c r="G19" s="4">
        <v>75</v>
      </c>
      <c r="H19" s="6">
        <v>46463</v>
      </c>
      <c r="I19" s="6" t="s">
        <v>60</v>
      </c>
    </row>
    <row r="20" spans="1:9">
      <c r="A20" s="4">
        <v>17</v>
      </c>
      <c r="B20" s="4" t="s">
        <v>26</v>
      </c>
      <c r="C20" s="5" t="s">
        <v>19</v>
      </c>
      <c r="D20" s="4" t="s">
        <v>9</v>
      </c>
      <c r="E20" s="4" t="s">
        <v>13</v>
      </c>
      <c r="F20" s="4" t="s">
        <v>32</v>
      </c>
      <c r="G20" s="4">
        <v>287.5</v>
      </c>
      <c r="H20" s="6">
        <v>46522</v>
      </c>
      <c r="I20" s="6" t="s">
        <v>60</v>
      </c>
    </row>
    <row r="21" spans="1:9">
      <c r="A21" s="4">
        <v>18</v>
      </c>
      <c r="B21" s="4" t="s">
        <v>33</v>
      </c>
      <c r="C21" s="5" t="s">
        <v>12</v>
      </c>
      <c r="D21" s="4" t="s">
        <v>9</v>
      </c>
      <c r="E21" s="4" t="s">
        <v>13</v>
      </c>
      <c r="F21" s="4" t="s">
        <v>34</v>
      </c>
      <c r="G21" s="4">
        <v>400</v>
      </c>
      <c r="H21" s="6">
        <v>46463</v>
      </c>
      <c r="I21" s="6" t="s">
        <v>60</v>
      </c>
    </row>
    <row r="22" spans="1:9">
      <c r="A22" s="4">
        <v>19</v>
      </c>
      <c r="B22" s="4" t="s">
        <v>33</v>
      </c>
      <c r="C22" s="5" t="s">
        <v>28</v>
      </c>
      <c r="D22" s="4" t="s">
        <v>9</v>
      </c>
      <c r="E22" s="4" t="s">
        <v>13</v>
      </c>
      <c r="F22" s="4" t="s">
        <v>35</v>
      </c>
      <c r="G22" s="4">
        <v>600</v>
      </c>
      <c r="H22" s="6">
        <v>46463</v>
      </c>
      <c r="I22" s="6" t="s">
        <v>60</v>
      </c>
    </row>
    <row r="23" spans="1:9">
      <c r="A23" s="4">
        <v>20</v>
      </c>
      <c r="B23" s="4" t="s">
        <v>33</v>
      </c>
      <c r="C23" s="5" t="s">
        <v>12</v>
      </c>
      <c r="D23" s="4" t="s">
        <v>9</v>
      </c>
      <c r="E23" s="4" t="s">
        <v>13</v>
      </c>
      <c r="F23" s="4" t="s">
        <v>36</v>
      </c>
      <c r="G23" s="4">
        <v>50</v>
      </c>
      <c r="H23" s="6">
        <v>46189</v>
      </c>
      <c r="I23" s="6" t="s">
        <v>60</v>
      </c>
    </row>
    <row r="24" spans="1:9">
      <c r="A24" s="4">
        <v>21</v>
      </c>
      <c r="B24" s="4" t="s">
        <v>37</v>
      </c>
      <c r="C24" s="5" t="s">
        <v>38</v>
      </c>
      <c r="D24" s="4" t="s">
        <v>9</v>
      </c>
      <c r="E24" s="4" t="s">
        <v>39</v>
      </c>
      <c r="F24" s="4" t="s">
        <v>40</v>
      </c>
      <c r="G24" s="4">
        <v>300</v>
      </c>
      <c r="H24" s="6">
        <v>46404</v>
      </c>
      <c r="I24" s="6" t="s">
        <v>60</v>
      </c>
    </row>
    <row r="25" spans="1:9">
      <c r="A25" s="4">
        <v>22</v>
      </c>
      <c r="B25" s="4" t="s">
        <v>41</v>
      </c>
      <c r="C25" s="5" t="s">
        <v>38</v>
      </c>
      <c r="D25" s="4" t="s">
        <v>9</v>
      </c>
      <c r="E25" s="4" t="s">
        <v>39</v>
      </c>
      <c r="F25" s="4" t="s">
        <v>40</v>
      </c>
      <c r="G25" s="4">
        <v>300</v>
      </c>
      <c r="H25" s="6">
        <v>46404</v>
      </c>
      <c r="I25" s="6" t="s">
        <v>60</v>
      </c>
    </row>
    <row r="26" spans="1:9">
      <c r="A26" s="4">
        <v>23</v>
      </c>
      <c r="B26" s="4" t="s">
        <v>41</v>
      </c>
      <c r="C26" s="5" t="s">
        <v>42</v>
      </c>
      <c r="D26" s="4" t="s">
        <v>9</v>
      </c>
      <c r="E26" s="4" t="s">
        <v>20</v>
      </c>
      <c r="F26" s="4" t="s">
        <v>43</v>
      </c>
      <c r="G26" s="4">
        <v>234</v>
      </c>
      <c r="H26" s="6">
        <v>46432</v>
      </c>
      <c r="I26" s="6" t="s">
        <v>60</v>
      </c>
    </row>
  </sheetData>
  <mergeCells count="17">
    <mergeCell ref="A1:A3"/>
    <mergeCell ref="B1:B3"/>
    <mergeCell ref="C1:C3"/>
    <mergeCell ref="D1:D3"/>
    <mergeCell ref="E1:E3"/>
    <mergeCell ref="H1:H3"/>
    <mergeCell ref="I1:I3"/>
    <mergeCell ref="B4:B5"/>
    <mergeCell ref="F4:F5"/>
    <mergeCell ref="B6:B7"/>
    <mergeCell ref="F6:F7"/>
    <mergeCell ref="F1:F3"/>
    <mergeCell ref="B12:B13"/>
    <mergeCell ref="F12:F13"/>
    <mergeCell ref="B17:B18"/>
    <mergeCell ref="F17:F18"/>
    <mergeCell ref="G1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0F21-6233-4AEF-8691-AB602C8CAE7D}">
  <dimension ref="A1:I28"/>
  <sheetViews>
    <sheetView topLeftCell="A4" workbookViewId="0">
      <selection activeCell="I24" sqref="I24"/>
    </sheetView>
  </sheetViews>
  <sheetFormatPr defaultRowHeight="14.4"/>
  <cols>
    <col min="2" max="2" width="11.44140625" customWidth="1"/>
    <col min="3" max="3" width="25.77734375" bestFit="1" customWidth="1"/>
    <col min="4" max="4" width="12.77734375" customWidth="1"/>
    <col min="8" max="8" width="12" style="1" customWidth="1"/>
    <col min="9" max="9" width="18.77734375" style="1" customWidth="1"/>
  </cols>
  <sheetData>
    <row r="1" spans="1:9">
      <c r="A1" s="18" t="s">
        <v>0</v>
      </c>
      <c r="B1" s="18" t="s">
        <v>1</v>
      </c>
      <c r="C1" s="18" t="s">
        <v>2</v>
      </c>
      <c r="D1" s="18" t="s">
        <v>44</v>
      </c>
      <c r="E1" s="18" t="s">
        <v>3</v>
      </c>
      <c r="F1" s="18" t="s">
        <v>4</v>
      </c>
      <c r="G1" s="18" t="s">
        <v>45</v>
      </c>
      <c r="H1" s="11" t="s">
        <v>5</v>
      </c>
      <c r="I1" s="11" t="s">
        <v>58</v>
      </c>
    </row>
    <row r="2" spans="1:9">
      <c r="A2" s="18"/>
      <c r="B2" s="18"/>
      <c r="C2" s="18"/>
      <c r="D2" s="18"/>
      <c r="E2" s="18"/>
      <c r="F2" s="18"/>
      <c r="G2" s="18"/>
      <c r="H2" s="11"/>
      <c r="I2" s="11"/>
    </row>
    <row r="3" spans="1:9">
      <c r="A3" s="18"/>
      <c r="B3" s="18"/>
      <c r="C3" s="18"/>
      <c r="D3" s="18"/>
      <c r="E3" s="18"/>
      <c r="F3" s="18"/>
      <c r="G3" s="18"/>
      <c r="H3" s="11"/>
      <c r="I3" s="11"/>
    </row>
    <row r="4" spans="1:9">
      <c r="A4" s="4">
        <v>1</v>
      </c>
      <c r="B4" s="19" t="s">
        <v>6</v>
      </c>
      <c r="C4" s="5" t="s">
        <v>7</v>
      </c>
      <c r="D4" s="4" t="s">
        <v>9</v>
      </c>
      <c r="E4" s="4" t="s">
        <v>10</v>
      </c>
      <c r="F4" s="19" t="s">
        <v>11</v>
      </c>
      <c r="G4" s="4">
        <v>150</v>
      </c>
      <c r="H4" s="6">
        <v>46189</v>
      </c>
      <c r="I4" s="6" t="s">
        <v>59</v>
      </c>
    </row>
    <row r="5" spans="1:9">
      <c r="A5" s="4">
        <v>2</v>
      </c>
      <c r="B5" s="19"/>
      <c r="C5" s="5" t="s">
        <v>12</v>
      </c>
      <c r="D5" s="4" t="s">
        <v>9</v>
      </c>
      <c r="E5" s="4" t="s">
        <v>13</v>
      </c>
      <c r="F5" s="19"/>
      <c r="G5" s="4">
        <v>125</v>
      </c>
      <c r="H5" s="6">
        <v>46220</v>
      </c>
      <c r="I5" s="6" t="s">
        <v>59</v>
      </c>
    </row>
    <row r="6" spans="1:9">
      <c r="A6" s="4">
        <v>3</v>
      </c>
      <c r="B6" s="19" t="s">
        <v>6</v>
      </c>
      <c r="C6" s="5" t="s">
        <v>14</v>
      </c>
      <c r="D6" s="4" t="s">
        <v>15</v>
      </c>
      <c r="E6" s="4" t="s">
        <v>16</v>
      </c>
      <c r="F6" s="19" t="s">
        <v>17</v>
      </c>
      <c r="G6" s="4">
        <v>50</v>
      </c>
      <c r="H6" s="6">
        <v>46159</v>
      </c>
      <c r="I6" s="6" t="s">
        <v>59</v>
      </c>
    </row>
    <row r="7" spans="1:9">
      <c r="A7" s="4">
        <v>4</v>
      </c>
      <c r="B7" s="19"/>
      <c r="C7" s="5" t="s">
        <v>12</v>
      </c>
      <c r="D7" s="4" t="s">
        <v>9</v>
      </c>
      <c r="E7" s="4" t="s">
        <v>13</v>
      </c>
      <c r="F7" s="19"/>
      <c r="G7" s="4">
        <v>150</v>
      </c>
      <c r="H7" s="6">
        <v>46220</v>
      </c>
      <c r="I7" s="6" t="s">
        <v>59</v>
      </c>
    </row>
    <row r="8" spans="1:9">
      <c r="A8" s="4">
        <v>5</v>
      </c>
      <c r="B8" s="4" t="s">
        <v>18</v>
      </c>
      <c r="C8" s="5" t="s">
        <v>19</v>
      </c>
      <c r="D8" s="4" t="s">
        <v>9</v>
      </c>
      <c r="E8" s="4" t="s">
        <v>13</v>
      </c>
      <c r="F8" s="4" t="s">
        <v>21</v>
      </c>
      <c r="G8" s="4">
        <v>150</v>
      </c>
      <c r="H8" s="6">
        <v>46463</v>
      </c>
      <c r="I8" s="6" t="s">
        <v>59</v>
      </c>
    </row>
    <row r="9" spans="1:9">
      <c r="A9" s="4">
        <v>6</v>
      </c>
      <c r="B9" s="4" t="s">
        <v>18</v>
      </c>
      <c r="C9" s="5" t="s">
        <v>19</v>
      </c>
      <c r="D9" s="4" t="s">
        <v>9</v>
      </c>
      <c r="E9" s="4" t="s">
        <v>13</v>
      </c>
      <c r="F9" s="4" t="s">
        <v>21</v>
      </c>
      <c r="G9" s="4">
        <v>150</v>
      </c>
      <c r="H9" s="6">
        <v>46524</v>
      </c>
      <c r="I9" s="6" t="s">
        <v>64</v>
      </c>
    </row>
    <row r="10" spans="1:9">
      <c r="A10" s="4">
        <v>7</v>
      </c>
      <c r="B10" s="4" t="s">
        <v>18</v>
      </c>
      <c r="C10" s="5" t="s">
        <v>22</v>
      </c>
      <c r="D10" s="4" t="s">
        <v>8</v>
      </c>
      <c r="E10" s="4" t="s">
        <v>23</v>
      </c>
      <c r="F10" s="4" t="s">
        <v>21</v>
      </c>
      <c r="G10" s="4">
        <v>150</v>
      </c>
      <c r="H10" s="6">
        <v>46524</v>
      </c>
      <c r="I10" s="6" t="s">
        <v>64</v>
      </c>
    </row>
    <row r="11" spans="1:9">
      <c r="A11" s="4">
        <v>8</v>
      </c>
      <c r="B11" s="4" t="s">
        <v>18</v>
      </c>
      <c r="C11" s="5" t="s">
        <v>19</v>
      </c>
      <c r="D11" s="4" t="s">
        <v>9</v>
      </c>
      <c r="E11" s="4" t="s">
        <v>13</v>
      </c>
      <c r="F11" s="4" t="s">
        <v>21</v>
      </c>
      <c r="G11" s="4">
        <v>200</v>
      </c>
      <c r="H11" s="6">
        <v>46524</v>
      </c>
      <c r="I11" s="6" t="s">
        <v>64</v>
      </c>
    </row>
    <row r="12" spans="1:9">
      <c r="A12" s="4">
        <v>9</v>
      </c>
      <c r="B12" s="19" t="s">
        <v>24</v>
      </c>
      <c r="C12" s="5" t="s">
        <v>19</v>
      </c>
      <c r="D12" s="4" t="s">
        <v>9</v>
      </c>
      <c r="E12" s="4" t="s">
        <v>13</v>
      </c>
      <c r="F12" s="19" t="s">
        <v>25</v>
      </c>
      <c r="G12" s="4">
        <v>300</v>
      </c>
      <c r="H12" s="6">
        <v>46646</v>
      </c>
      <c r="I12" s="6" t="s">
        <v>59</v>
      </c>
    </row>
    <row r="13" spans="1:9">
      <c r="A13" s="4">
        <v>10</v>
      </c>
      <c r="B13" s="19"/>
      <c r="C13" s="5" t="s">
        <v>19</v>
      </c>
      <c r="D13" s="4" t="s">
        <v>9</v>
      </c>
      <c r="E13" s="4" t="s">
        <v>13</v>
      </c>
      <c r="F13" s="19"/>
      <c r="G13" s="4">
        <v>200</v>
      </c>
      <c r="H13" s="6">
        <v>46616</v>
      </c>
      <c r="I13" s="6" t="s">
        <v>59</v>
      </c>
    </row>
    <row r="14" spans="1:9">
      <c r="A14" s="4">
        <v>11</v>
      </c>
      <c r="B14" s="4" t="s">
        <v>26</v>
      </c>
      <c r="C14" s="5" t="s">
        <v>12</v>
      </c>
      <c r="D14" s="4" t="s">
        <v>9</v>
      </c>
      <c r="E14" s="4" t="s">
        <v>13</v>
      </c>
      <c r="F14" s="4" t="s">
        <v>27</v>
      </c>
      <c r="G14" s="4">
        <v>175</v>
      </c>
      <c r="H14" s="6">
        <v>46432</v>
      </c>
      <c r="I14" s="6" t="s">
        <v>59</v>
      </c>
    </row>
    <row r="15" spans="1:9">
      <c r="A15" s="4">
        <v>12</v>
      </c>
      <c r="B15" s="4" t="s">
        <v>26</v>
      </c>
      <c r="C15" s="5" t="s">
        <v>28</v>
      </c>
      <c r="D15" s="4" t="s">
        <v>9</v>
      </c>
      <c r="E15" s="4" t="s">
        <v>13</v>
      </c>
      <c r="F15" s="4" t="s">
        <v>27</v>
      </c>
      <c r="G15" s="4">
        <v>50</v>
      </c>
      <c r="H15" s="6">
        <v>46404</v>
      </c>
      <c r="I15" s="6" t="s">
        <v>59</v>
      </c>
    </row>
    <row r="16" spans="1:9">
      <c r="A16" s="4">
        <v>13</v>
      </c>
      <c r="B16" s="4" t="s">
        <v>26</v>
      </c>
      <c r="C16" s="5" t="s">
        <v>19</v>
      </c>
      <c r="D16" s="4" t="s">
        <v>9</v>
      </c>
      <c r="E16" s="4" t="s">
        <v>13</v>
      </c>
      <c r="F16" s="4" t="s">
        <v>29</v>
      </c>
      <c r="G16" s="4">
        <v>112.5</v>
      </c>
      <c r="H16" s="6">
        <v>46432</v>
      </c>
      <c r="I16" s="6" t="s">
        <v>59</v>
      </c>
    </row>
    <row r="17" spans="1:9">
      <c r="A17" s="4">
        <v>14</v>
      </c>
      <c r="B17" s="19" t="s">
        <v>26</v>
      </c>
      <c r="C17" s="5" t="s">
        <v>12</v>
      </c>
      <c r="D17" s="4" t="s">
        <v>9</v>
      </c>
      <c r="E17" s="4" t="s">
        <v>13</v>
      </c>
      <c r="F17" s="19" t="s">
        <v>30</v>
      </c>
      <c r="G17" s="4">
        <v>100</v>
      </c>
      <c r="H17" s="6">
        <v>46404</v>
      </c>
      <c r="I17" s="6" t="s">
        <v>59</v>
      </c>
    </row>
    <row r="18" spans="1:9">
      <c r="A18" s="4">
        <v>15</v>
      </c>
      <c r="B18" s="19"/>
      <c r="C18" s="5" t="s">
        <v>28</v>
      </c>
      <c r="D18" s="4" t="s">
        <v>9</v>
      </c>
      <c r="E18" s="4" t="s">
        <v>13</v>
      </c>
      <c r="F18" s="19"/>
      <c r="G18" s="4">
        <v>200</v>
      </c>
      <c r="H18" s="6">
        <v>46432</v>
      </c>
      <c r="I18" s="6" t="s">
        <v>59</v>
      </c>
    </row>
    <row r="19" spans="1:9">
      <c r="A19" s="4">
        <v>16</v>
      </c>
      <c r="B19" s="4" t="s">
        <v>26</v>
      </c>
      <c r="C19" s="5" t="s">
        <v>22</v>
      </c>
      <c r="D19" s="4" t="s">
        <v>8</v>
      </c>
      <c r="E19" s="4" t="s">
        <v>31</v>
      </c>
      <c r="F19" s="4" t="s">
        <v>30</v>
      </c>
      <c r="G19" s="4">
        <v>75</v>
      </c>
      <c r="H19" s="6">
        <v>46463</v>
      </c>
      <c r="I19" s="6" t="s">
        <v>59</v>
      </c>
    </row>
    <row r="20" spans="1:9">
      <c r="A20" s="4">
        <v>17</v>
      </c>
      <c r="B20" s="4" t="s">
        <v>26</v>
      </c>
      <c r="C20" s="5" t="s">
        <v>19</v>
      </c>
      <c r="D20" s="4" t="s">
        <v>9</v>
      </c>
      <c r="E20" s="4" t="s">
        <v>13</v>
      </c>
      <c r="F20" s="4" t="s">
        <v>32</v>
      </c>
      <c r="G20" s="4">
        <v>287.5</v>
      </c>
      <c r="H20" s="6">
        <v>46522</v>
      </c>
      <c r="I20" s="6" t="s">
        <v>59</v>
      </c>
    </row>
    <row r="21" spans="1:9">
      <c r="A21" s="4">
        <v>18</v>
      </c>
      <c r="B21" s="4" t="s">
        <v>33</v>
      </c>
      <c r="C21" s="5" t="s">
        <v>12</v>
      </c>
      <c r="D21" s="4" t="s">
        <v>9</v>
      </c>
      <c r="E21" s="4" t="s">
        <v>13</v>
      </c>
      <c r="F21" s="4" t="s">
        <v>34</v>
      </c>
      <c r="G21" s="4">
        <v>400</v>
      </c>
      <c r="H21" s="6">
        <v>46463</v>
      </c>
      <c r="I21" s="6" t="s">
        <v>59</v>
      </c>
    </row>
    <row r="22" spans="1:9">
      <c r="A22" s="4">
        <v>19</v>
      </c>
      <c r="B22" s="4" t="s">
        <v>33</v>
      </c>
      <c r="C22" s="5" t="s">
        <v>28</v>
      </c>
      <c r="D22" s="4" t="s">
        <v>9</v>
      </c>
      <c r="E22" s="4" t="s">
        <v>13</v>
      </c>
      <c r="F22" s="4" t="s">
        <v>35</v>
      </c>
      <c r="G22" s="4">
        <v>600</v>
      </c>
      <c r="H22" s="6">
        <v>46463</v>
      </c>
      <c r="I22" s="6" t="s">
        <v>59</v>
      </c>
    </row>
    <row r="23" spans="1:9">
      <c r="A23" s="4">
        <v>20</v>
      </c>
      <c r="B23" s="4" t="s">
        <v>33</v>
      </c>
      <c r="C23" s="5" t="s">
        <v>12</v>
      </c>
      <c r="D23" s="4" t="s">
        <v>9</v>
      </c>
      <c r="E23" s="4" t="s">
        <v>13</v>
      </c>
      <c r="F23" s="4" t="s">
        <v>36</v>
      </c>
      <c r="G23" s="4">
        <v>50</v>
      </c>
      <c r="H23" s="6">
        <v>46189</v>
      </c>
      <c r="I23" s="6" t="s">
        <v>59</v>
      </c>
    </row>
    <row r="24" spans="1:9">
      <c r="A24" s="4">
        <v>21</v>
      </c>
      <c r="B24" s="4" t="s">
        <v>37</v>
      </c>
      <c r="C24" s="5" t="s">
        <v>38</v>
      </c>
      <c r="D24" s="4" t="s">
        <v>9</v>
      </c>
      <c r="E24" s="4" t="s">
        <v>39</v>
      </c>
      <c r="F24" s="4" t="s">
        <v>40</v>
      </c>
      <c r="G24" s="4">
        <v>300</v>
      </c>
      <c r="H24" s="6">
        <v>46404</v>
      </c>
      <c r="I24" s="6" t="s">
        <v>59</v>
      </c>
    </row>
    <row r="25" spans="1:9">
      <c r="A25" s="4">
        <v>22</v>
      </c>
      <c r="B25" s="4" t="s">
        <v>41</v>
      </c>
      <c r="C25" s="5" t="s">
        <v>38</v>
      </c>
      <c r="D25" s="4" t="s">
        <v>9</v>
      </c>
      <c r="E25" s="4" t="s">
        <v>39</v>
      </c>
      <c r="F25" s="4" t="s">
        <v>40</v>
      </c>
      <c r="G25" s="4">
        <v>300</v>
      </c>
      <c r="H25" s="6">
        <v>46404</v>
      </c>
      <c r="I25" s="6" t="s">
        <v>59</v>
      </c>
    </row>
    <row r="26" spans="1:9">
      <c r="A26" s="4">
        <v>23</v>
      </c>
      <c r="B26" s="4" t="s">
        <v>41</v>
      </c>
      <c r="C26" s="5" t="s">
        <v>42</v>
      </c>
      <c r="D26" s="4" t="s">
        <v>9</v>
      </c>
      <c r="E26" s="4" t="s">
        <v>20</v>
      </c>
      <c r="F26" s="4" t="s">
        <v>43</v>
      </c>
      <c r="G26" s="4">
        <v>234</v>
      </c>
      <c r="H26" s="6">
        <v>46432</v>
      </c>
      <c r="I26" s="6" t="s">
        <v>59</v>
      </c>
    </row>
    <row r="28" spans="1:9">
      <c r="A28" s="20" t="s">
        <v>65</v>
      </c>
      <c r="B28" s="20"/>
      <c r="C28" s="20"/>
      <c r="D28" s="20"/>
      <c r="E28" s="20"/>
      <c r="F28" s="20"/>
      <c r="G28" s="20"/>
      <c r="H28" s="20"/>
      <c r="I28" s="20"/>
    </row>
  </sheetData>
  <mergeCells count="18">
    <mergeCell ref="F12:F13"/>
    <mergeCell ref="B17:B18"/>
    <mergeCell ref="F17:F18"/>
    <mergeCell ref="G1:G3"/>
    <mergeCell ref="A28:I28"/>
    <mergeCell ref="A1:A3"/>
    <mergeCell ref="B1:B3"/>
    <mergeCell ref="C1:C3"/>
    <mergeCell ref="D1:D3"/>
    <mergeCell ref="E1:E3"/>
    <mergeCell ref="H1:H3"/>
    <mergeCell ref="I1:I3"/>
    <mergeCell ref="B4:B5"/>
    <mergeCell ref="F4:F5"/>
    <mergeCell ref="B6:B7"/>
    <mergeCell ref="F6:F7"/>
    <mergeCell ref="F1:F3"/>
    <mergeCell ref="B12:B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aa576f-66ae-4d26-8478-3aa5f5956607">
      <Terms xmlns="http://schemas.microsoft.com/office/infopath/2007/PartnerControls"/>
    </lcf76f155ced4ddcb4097134ff3c332f>
    <TaxCatchAll xmlns="0c661c39-5e25-4bcc-8dfb-b53192fbbef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7E31D6ECB15E46BF15A461A410D022" ma:contentTypeVersion="10" ma:contentTypeDescription="Create a new document." ma:contentTypeScope="" ma:versionID="1032708551856ba6ebce288daacfa8c5">
  <xsd:schema xmlns:xsd="http://www.w3.org/2001/XMLSchema" xmlns:xs="http://www.w3.org/2001/XMLSchema" xmlns:p="http://schemas.microsoft.com/office/2006/metadata/properties" xmlns:ns2="14aa576f-66ae-4d26-8478-3aa5f5956607" xmlns:ns3="0c661c39-5e25-4bcc-8dfb-b53192fbbeff" targetNamespace="http://schemas.microsoft.com/office/2006/metadata/properties" ma:root="true" ma:fieldsID="582b900425d826bc4bb2818cf42d5355" ns2:_="" ns3:_="">
    <xsd:import namespace="14aa576f-66ae-4d26-8478-3aa5f5956607"/>
    <xsd:import namespace="0c661c39-5e25-4bcc-8dfb-b53192fbbe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aa576f-66ae-4d26-8478-3aa5f59566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514443-b7a3-4086-9c59-89a49c0c91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61c39-5e25-4bcc-8dfb-b53192fbbe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a4a445-c063-455c-88b5-4bf2d28c0c66}" ma:internalName="TaxCatchAll" ma:showField="CatchAllData" ma:web="0c661c39-5e25-4bcc-8dfb-b53192fbbe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789934-7541-47D3-98AD-DB50ABF381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B771F7-CC1E-4A4B-8FB6-165DDDF7B5BB}">
  <ds:schemaRefs>
    <ds:schemaRef ds:uri="http://schemas.microsoft.com/office/2006/metadata/properties"/>
    <ds:schemaRef ds:uri="http://schemas.microsoft.com/office/infopath/2007/PartnerControls"/>
    <ds:schemaRef ds:uri="14aa576f-66ae-4d26-8478-3aa5f5956607"/>
    <ds:schemaRef ds:uri="0c661c39-5e25-4bcc-8dfb-b53192fbbeff"/>
  </ds:schemaRefs>
</ds:datastoreItem>
</file>

<file path=customXml/itemProps3.xml><?xml version="1.0" encoding="utf-8"?>
<ds:datastoreItem xmlns:ds="http://schemas.openxmlformats.org/officeDocument/2006/customXml" ds:itemID="{75DE3782-7114-4726-82A6-A26B05CDC5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aa576f-66ae-4d26-8478-3aa5f5956607"/>
    <ds:schemaRef ds:uri="0c661c39-5e25-4bcc-8dfb-b53192fbbe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BOCW</vt:lpstr>
      <vt:lpstr>Sheet3</vt:lpstr>
      <vt:lpstr>GST Certificate</vt:lpstr>
      <vt:lpstr>CLRA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Anirban Pandey</dc:creator>
  <cp:lastModifiedBy>Shivam Pandya</cp:lastModifiedBy>
  <dcterms:created xsi:type="dcterms:W3CDTF">2015-06-05T18:17:20Z</dcterms:created>
  <dcterms:modified xsi:type="dcterms:W3CDTF">2026-07-24T12:32:57Z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0x010100277E31D6ECB15E46BF15A461A410D022</vt:lpwstr>
  </property>
  <property fmtid="{D5CDD505-2E9C-101B-9397-08002B2CF9AE}" pid="3" name="MediaServiceImageTags">
    <vt:lpwstr/>
  </property>
</Properties>
</file>