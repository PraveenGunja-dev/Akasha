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adaniltd.sharepoint.com/sites/AGEL_Solar_Project/Shared Documents/PMO-EPC-Khavda/71. Insurance Details/"/>
    </mc:Choice>
  </mc:AlternateContent>
  <xr:revisionPtr revIDLastSave="463" documentId="11_DDD9C6680CE14C2B8A2D8E78554F1A8CC8E130F5" xr6:coauthVersionLast="47" xr6:coauthVersionMax="47" xr10:uidLastSave="{C2C7CFEE-BA0D-4825-B576-489CABE00294}"/>
  <bookViews>
    <workbookView xWindow="-108" yWindow="-108" windowWidth="23256" windowHeight="12456" xr2:uid="{00000000-000D-0000-FFFF-FFFF00000000}"/>
  </bookViews>
  <sheets>
    <sheet name="Master Sheet" sheetId="1" r:id="rId1"/>
    <sheet name="Sheet1" sheetId="2" state="hidden" r:id="rId2"/>
    <sheet name="Sheet2" sheetId="3" state="hidden" r:id="rId3"/>
  </sheets>
  <definedNames>
    <definedName name="_xlnm._FilterDatabase" localSheetId="0" hidden="1">'Master Sheet'!$B$2:$R$25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5" i="1" l="1"/>
  <c r="K13" i="1"/>
  <c r="K14" i="1"/>
  <c r="K16" i="1"/>
  <c r="K19" i="1"/>
  <c r="K24" i="1"/>
  <c r="Q1" i="1"/>
  <c r="R3" i="1" s="1"/>
  <c r="R15" i="1" l="1"/>
  <c r="R17" i="1"/>
  <c r="R16" i="1"/>
  <c r="R5" i="1"/>
  <c r="R14" i="1"/>
  <c r="R25" i="1"/>
  <c r="R13" i="1"/>
  <c r="R24" i="1"/>
  <c r="R12" i="1"/>
  <c r="R23" i="1"/>
  <c r="R11" i="1"/>
  <c r="R22" i="1"/>
  <c r="R10" i="1"/>
  <c r="R21" i="1"/>
  <c r="R9" i="1"/>
  <c r="R20" i="1"/>
  <c r="R8" i="1"/>
  <c r="R19" i="1"/>
  <c r="R7" i="1"/>
  <c r="R18" i="1"/>
  <c r="R6" i="1"/>
  <c r="R4" i="1"/>
</calcChain>
</file>

<file path=xl/sharedStrings.xml><?xml version="1.0" encoding="utf-8"?>
<sst xmlns="http://schemas.openxmlformats.org/spreadsheetml/2006/main" count="237" uniqueCount="84">
  <si>
    <t>Project</t>
  </si>
  <si>
    <t>SPV</t>
  </si>
  <si>
    <t>Plot/
Location</t>
  </si>
  <si>
    <t>Category</t>
  </si>
  <si>
    <t>Type</t>
  </si>
  <si>
    <t>Vendor Name</t>
  </si>
  <si>
    <t>Total Capacity
(MWac)</t>
  </si>
  <si>
    <t>Total Capacity
(MWp)</t>
  </si>
  <si>
    <t>AESL PPA (C&amp;I) - Solar</t>
  </si>
  <si>
    <t>Group - Port (Hybrid - Solar)</t>
  </si>
  <si>
    <t>Group - Cement (Hybrid - Solar)</t>
  </si>
  <si>
    <t>ARE41L</t>
  </si>
  <si>
    <t>APSEZ</t>
  </si>
  <si>
    <t>ACL</t>
  </si>
  <si>
    <t>A01c</t>
  </si>
  <si>
    <t>A01d</t>
  </si>
  <si>
    <t>A01e</t>
  </si>
  <si>
    <t>Merchant</t>
  </si>
  <si>
    <t>ALMM</t>
  </si>
  <si>
    <t>Group</t>
  </si>
  <si>
    <t>PPA</t>
  </si>
  <si>
    <t>China</t>
  </si>
  <si>
    <t>Bondada</t>
  </si>
  <si>
    <t>Policy Number</t>
  </si>
  <si>
    <t>Policy Expiry date</t>
  </si>
  <si>
    <t>Sum Insured</t>
  </si>
  <si>
    <t xml:space="preserve">Ins. co. </t>
  </si>
  <si>
    <t>Policy start date</t>
  </si>
  <si>
    <t xml:space="preserve">Premium (incl. GST) - Rs. </t>
  </si>
  <si>
    <t>MSEDCL PPA Ph-1</t>
  </si>
  <si>
    <t>TPL-D PPA</t>
  </si>
  <si>
    <t>MLP T4 PPA - AP</t>
  </si>
  <si>
    <t>SECI VIII PPA</t>
  </si>
  <si>
    <t>MLP T1  PPA - BEST</t>
  </si>
  <si>
    <t>MSEDCL PPA Ph-2</t>
  </si>
  <si>
    <t>AGEL Merchant (Solar) - TTE</t>
  </si>
  <si>
    <t>MSEDCL PPA Ph-3</t>
  </si>
  <si>
    <t>A01</t>
  </si>
  <si>
    <t>A15b</t>
  </si>
  <si>
    <t>A02</t>
  </si>
  <si>
    <t>A03</t>
  </si>
  <si>
    <t>S07</t>
  </si>
  <si>
    <t>S09</t>
  </si>
  <si>
    <t>S02a</t>
  </si>
  <si>
    <t>S06a</t>
  </si>
  <si>
    <t>S01</t>
  </si>
  <si>
    <t>S03</t>
  </si>
  <si>
    <t>A18</t>
  </si>
  <si>
    <t>S02b</t>
  </si>
  <si>
    <t>S10</t>
  </si>
  <si>
    <t>ARE55L</t>
  </si>
  <si>
    <t>ARE8L</t>
  </si>
  <si>
    <t>AGE26BL</t>
  </si>
  <si>
    <t>AGE24L</t>
  </si>
  <si>
    <t>ASEJ6PL</t>
  </si>
  <si>
    <t>AGE26AL</t>
  </si>
  <si>
    <t>AE2L</t>
  </si>
  <si>
    <t>AE3L</t>
  </si>
  <si>
    <t>SEA</t>
  </si>
  <si>
    <t>ALCM</t>
  </si>
  <si>
    <t>Amaraja</t>
  </si>
  <si>
    <t>S&amp;W</t>
  </si>
  <si>
    <t>HILD</t>
  </si>
  <si>
    <t>Enrich</t>
  </si>
  <si>
    <t>KPI Green</t>
  </si>
  <si>
    <t>L&amp;T</t>
  </si>
  <si>
    <t>Phase IV Project Insurance Details</t>
  </si>
  <si>
    <t>THE NEW INDIA ASSURANCE CO. LTD.</t>
  </si>
  <si>
    <t>Remarks</t>
  </si>
  <si>
    <t>Renewal Alert</t>
  </si>
  <si>
    <t>c</t>
  </si>
  <si>
    <t xml:space="preserve">Covering letter </t>
  </si>
  <si>
    <t>Yes</t>
  </si>
  <si>
    <t>Plot</t>
  </si>
  <si>
    <t>Capacity(MWac)</t>
  </si>
  <si>
    <t>Capacity(MWdc)</t>
  </si>
  <si>
    <t>Extension required?</t>
  </si>
  <si>
    <t>Revised expiry date</t>
  </si>
  <si>
    <t>Reason for delay</t>
  </si>
  <si>
    <t>Full Capacity</t>
  </si>
  <si>
    <t>Material delivery delay and diesel shortage due to geopolitical tensions. </t>
  </si>
  <si>
    <t>yes(For 2 Months)</t>
  </si>
  <si>
    <t>Extension request till 30-Sep-26 Given to Insurance Team</t>
  </si>
  <si>
    <t>Extension request till 31-Aug-26 Given to Insurance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</si>
</sst>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Adani Regular"/>
    </font>
    <font>
      <sz val="14"/>
      <name val="Adani Regular"/>
    </font>
    <font>
      <sz val="14"/>
      <color theme="1"/>
      <name val="Adani Regular"/>
    </font>
    <font>
      <b/>
      <sz val="11"/>
      <color theme="1"/>
      <name val="Calibri"/>
      <family val="2"/>
      <scheme val="minor"/>
    </font>
    <font>
      <b/>
      <i/>
      <sz val="10"/>
      <color rgb="FF000000"/>
      <name val="Adani Regular"/>
    </font>
    <font>
      <sz val="10"/>
      <color rgb="FF000000"/>
      <name val="Adani Regular"/>
    </font>
    <font>
      <b/>
      <sz val="10"/>
      <color rgb="FF000000"/>
      <name val="Aptos"/>
      <family val="2"/>
    </font>
    <font>
      <sz val="11"/>
      <color rgb="FF000000"/>
      <name val="Adani Regular"/>
    </font>
    <font>
      <sz val="11"/>
      <name val="Adani Regular"/>
    </font>
    <font>
      <b/>
      <i/>
      <sz val="18"/>
      <color theme="1"/>
      <name val="ADani regula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AE9F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8">
    <xf numFmtId="0" fontId="0" fillId="0" borderId="0" xfId="0"/>
    <xf numFmtId="0" fontId="2" fillId="0" borderId="0" xfId="0" applyFont="1"/>
    <xf numFmtId="14" fontId="2" fillId="0" borderId="0" xfId="0" applyNumberFormat="1" applyFont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/>
    <xf numFmtId="15" fontId="2" fillId="0" borderId="1" xfId="0" applyNumberFormat="1" applyFont="1" applyBorder="1"/>
    <xf numFmtId="4" fontId="5" fillId="0" borderId="1" xfId="0" applyNumberFormat="1" applyFont="1" applyBorder="1" applyAlignment="1">
      <alignment horizontal="center"/>
    </xf>
    <xf numFmtId="164" fontId="2" fillId="0" borderId="1" xfId="1" applyNumberFormat="1" applyFont="1" applyBorder="1"/>
    <xf numFmtId="1" fontId="2" fillId="0" borderId="1" xfId="0" applyNumberFormat="1" applyFont="1" applyBorder="1"/>
    <xf numFmtId="3" fontId="2" fillId="0" borderId="1" xfId="0" applyNumberFormat="1" applyFont="1" applyBorder="1"/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6" fillId="0" borderId="0" xfId="0" applyFont="1"/>
    <xf numFmtId="0" fontId="4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9" fillId="6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14" fontId="8" fillId="0" borderId="1" xfId="0" applyNumberFormat="1" applyFont="1" applyBorder="1" applyAlignment="1">
      <alignment horizontal="right" vertical="center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0" xfId="0" applyFont="1"/>
  </cellXfs>
  <cellStyles count="2">
    <cellStyle name="Comma" xfId="1" builtinId="3"/>
    <cellStyle name="Normal" xfId="0" builtinId="0"/>
  </cellStyles>
  <dxfs count="2"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25"/>
  <sheetViews>
    <sheetView tabSelected="1" view="pageBreakPreview" topLeftCell="B1" zoomScale="70" zoomScaleNormal="70" zoomScaleSheetLayoutView="70" workbookViewId="0">
      <selection activeCell="O1" sqref="O1"/>
    </sheetView>
  </sheetViews>
  <sheetFormatPr defaultRowHeight="52.8" customHeight="1"/>
  <cols>
    <col min="1" max="1" width="32" hidden="1" customWidth="1"/>
    <col min="2" max="2" width="46.77734375" bestFit="1" customWidth="1"/>
    <col min="3" max="3" width="14.88671875" bestFit="1" customWidth="1"/>
    <col min="4" max="4" width="20.5546875" bestFit="1" customWidth="1"/>
    <col min="5" max="5" width="20.88671875" bestFit="1" customWidth="1"/>
    <col min="6" max="6" width="15.6640625" bestFit="1" customWidth="1"/>
    <col min="7" max="7" width="18.6640625" bestFit="1" customWidth="1"/>
    <col min="8" max="9" width="23.5546875" bestFit="1" customWidth="1"/>
    <col min="10" max="10" width="41.88671875" hidden="1" customWidth="1"/>
    <col min="11" max="11" width="20.6640625" hidden="1" customWidth="1"/>
    <col min="12" max="12" width="20.109375" hidden="1" customWidth="1"/>
    <col min="13" max="13" width="31.5546875" hidden="1" customWidth="1"/>
    <col min="14" max="14" width="21.33203125" bestFit="1" customWidth="1"/>
    <col min="15" max="15" width="23.44140625" bestFit="1" customWidth="1"/>
    <col min="16" max="16" width="30.33203125" bestFit="1" customWidth="1"/>
    <col min="17" max="17" width="62.21875" bestFit="1" customWidth="1"/>
    <col min="18" max="18" width="14.77734375" bestFit="1" customWidth="1"/>
  </cols>
  <sheetData>
    <row r="1" spans="1:18" ht="52.8" customHeight="1">
      <c r="B1" s="27" t="s">
        <v>66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>
        <f ca="1">TODAY()</f>
        <v>46237</v>
      </c>
      <c r="R1" s="1"/>
    </row>
    <row r="2" spans="1:18" ht="52.8" customHeight="1">
      <c r="B2" s="14" t="s">
        <v>0</v>
      </c>
      <c r="C2" s="14" t="s">
        <v>1</v>
      </c>
      <c r="D2" s="14" t="s">
        <v>2</v>
      </c>
      <c r="E2" s="14" t="s">
        <v>3</v>
      </c>
      <c r="F2" s="14" t="s">
        <v>4</v>
      </c>
      <c r="G2" s="14" t="s">
        <v>5</v>
      </c>
      <c r="H2" s="14" t="s">
        <v>6</v>
      </c>
      <c r="I2" s="14" t="s">
        <v>7</v>
      </c>
      <c r="J2" s="15" t="s">
        <v>26</v>
      </c>
      <c r="K2" s="15" t="s">
        <v>25</v>
      </c>
      <c r="L2" s="15" t="s">
        <v>71</v>
      </c>
      <c r="M2" s="15" t="s">
        <v>23</v>
      </c>
      <c r="N2" s="15" t="s">
        <v>27</v>
      </c>
      <c r="O2" s="15" t="s">
        <v>24</v>
      </c>
      <c r="P2" s="15" t="s">
        <v>28</v>
      </c>
      <c r="Q2" s="15" t="s">
        <v>68</v>
      </c>
      <c r="R2" s="15" t="s">
        <v>69</v>
      </c>
    </row>
    <row r="3" spans="1:18" ht="52.8" customHeight="1">
      <c r="B3" s="3" t="s">
        <v>8</v>
      </c>
      <c r="C3" s="3" t="s">
        <v>11</v>
      </c>
      <c r="D3" s="3" t="s">
        <v>14</v>
      </c>
      <c r="E3" s="3" t="s">
        <v>17</v>
      </c>
      <c r="F3" s="3" t="s">
        <v>18</v>
      </c>
      <c r="G3" s="4" t="s">
        <v>22</v>
      </c>
      <c r="H3" s="4">
        <v>25</v>
      </c>
      <c r="I3" s="5">
        <v>33.75</v>
      </c>
      <c r="J3" s="4"/>
      <c r="K3" s="4"/>
      <c r="L3" s="4" t="s">
        <v>72</v>
      </c>
      <c r="M3" s="6"/>
      <c r="N3" s="7">
        <v>46158</v>
      </c>
      <c r="O3" s="7">
        <v>46295</v>
      </c>
      <c r="P3" s="11">
        <v>172770</v>
      </c>
      <c r="Q3" s="6" t="s">
        <v>82</v>
      </c>
      <c r="R3" s="8" t="str">
        <f ca="1">IF((($O3-$Q$1)/30)&gt;1, "Live", "Renewal")</f>
        <v>Live</v>
      </c>
    </row>
    <row r="4" spans="1:18" ht="52.8" customHeight="1">
      <c r="B4" s="3" t="s">
        <v>9</v>
      </c>
      <c r="C4" s="3" t="s">
        <v>12</v>
      </c>
      <c r="D4" s="3" t="s">
        <v>15</v>
      </c>
      <c r="E4" s="3" t="s">
        <v>19</v>
      </c>
      <c r="F4" s="3" t="s">
        <v>18</v>
      </c>
      <c r="G4" s="4" t="s">
        <v>22</v>
      </c>
      <c r="H4" s="4">
        <v>25</v>
      </c>
      <c r="I4" s="5">
        <v>33.75</v>
      </c>
      <c r="J4" s="4"/>
      <c r="K4" s="4"/>
      <c r="L4" s="4" t="s">
        <v>72</v>
      </c>
      <c r="M4" s="6"/>
      <c r="N4" s="7">
        <v>46154</v>
      </c>
      <c r="O4" s="7">
        <v>46295</v>
      </c>
      <c r="P4" s="11">
        <v>206593</v>
      </c>
      <c r="Q4" s="6" t="s">
        <v>82</v>
      </c>
      <c r="R4" s="8" t="str">
        <f t="shared" ref="R4:R25" ca="1" si="0">IF((($O4-$Q$1)/30)&gt;1, "Live", "Renewal")</f>
        <v>Live</v>
      </c>
    </row>
    <row r="5" spans="1:18" ht="52.8" customHeight="1">
      <c r="B5" s="3" t="s">
        <v>10</v>
      </c>
      <c r="C5" s="3" t="s">
        <v>13</v>
      </c>
      <c r="D5" s="3" t="s">
        <v>16</v>
      </c>
      <c r="E5" s="3" t="s">
        <v>19</v>
      </c>
      <c r="F5" s="3" t="s">
        <v>18</v>
      </c>
      <c r="G5" s="4" t="s">
        <v>22</v>
      </c>
      <c r="H5" s="4">
        <v>25</v>
      </c>
      <c r="I5" s="5">
        <v>34</v>
      </c>
      <c r="J5" s="4"/>
      <c r="K5" s="4"/>
      <c r="L5" s="4" t="s">
        <v>72</v>
      </c>
      <c r="M5" s="6"/>
      <c r="N5" s="7">
        <v>46153</v>
      </c>
      <c r="O5" s="7">
        <v>46295</v>
      </c>
      <c r="P5" s="11">
        <v>185514</v>
      </c>
      <c r="Q5" s="6" t="s">
        <v>82</v>
      </c>
      <c r="R5" s="8" t="str">
        <f t="shared" ca="1" si="0"/>
        <v>Live</v>
      </c>
    </row>
    <row r="6" spans="1:18" ht="52.8" customHeight="1">
      <c r="B6" s="3" t="s">
        <v>10</v>
      </c>
      <c r="C6" s="3" t="s">
        <v>13</v>
      </c>
      <c r="D6" s="3" t="s">
        <v>37</v>
      </c>
      <c r="E6" s="3" t="s">
        <v>19</v>
      </c>
      <c r="F6" s="3" t="s">
        <v>18</v>
      </c>
      <c r="G6" s="4" t="s">
        <v>60</v>
      </c>
      <c r="H6" s="3">
        <v>50</v>
      </c>
      <c r="I6" s="5">
        <v>67.5</v>
      </c>
      <c r="J6" s="1" t="s">
        <v>67</v>
      </c>
      <c r="K6" s="9">
        <v>1910000000</v>
      </c>
      <c r="L6" s="4" t="s">
        <v>72</v>
      </c>
      <c r="M6" s="10">
        <v>2.1230044260400001E+19</v>
      </c>
      <c r="N6" s="7">
        <v>46170</v>
      </c>
      <c r="O6" s="7">
        <v>46295</v>
      </c>
      <c r="P6" s="11">
        <v>717187</v>
      </c>
      <c r="Q6" s="6" t="s">
        <v>82</v>
      </c>
      <c r="R6" s="8" t="str">
        <f t="shared" ca="1" si="0"/>
        <v>Live</v>
      </c>
    </row>
    <row r="7" spans="1:18" ht="52.8" customHeight="1">
      <c r="B7" s="3" t="s">
        <v>29</v>
      </c>
      <c r="C7" s="3" t="s">
        <v>50</v>
      </c>
      <c r="D7" s="3" t="s">
        <v>38</v>
      </c>
      <c r="E7" s="3" t="s">
        <v>20</v>
      </c>
      <c r="F7" s="3" t="s">
        <v>18</v>
      </c>
      <c r="G7" s="4" t="s">
        <v>61</v>
      </c>
      <c r="H7" s="3">
        <v>50</v>
      </c>
      <c r="I7" s="5">
        <v>67.5</v>
      </c>
      <c r="J7" s="6" t="s">
        <v>67</v>
      </c>
      <c r="K7" s="9">
        <v>2010000000</v>
      </c>
      <c r="L7" s="4" t="s">
        <v>72</v>
      </c>
      <c r="M7" s="10">
        <v>2.1230044260400001E+19</v>
      </c>
      <c r="N7" s="7">
        <v>46149</v>
      </c>
      <c r="O7" s="7">
        <v>46295</v>
      </c>
      <c r="P7" s="11">
        <v>904500</v>
      </c>
      <c r="Q7" s="6" t="s">
        <v>82</v>
      </c>
      <c r="R7" s="8" t="str">
        <f t="shared" ca="1" si="0"/>
        <v>Live</v>
      </c>
    </row>
    <row r="8" spans="1:18" ht="52.8" customHeight="1">
      <c r="B8" s="3" t="s">
        <v>30</v>
      </c>
      <c r="C8" s="3" t="s">
        <v>51</v>
      </c>
      <c r="D8" s="3" t="s">
        <v>39</v>
      </c>
      <c r="E8" s="3" t="s">
        <v>20</v>
      </c>
      <c r="F8" s="3" t="s">
        <v>21</v>
      </c>
      <c r="G8" s="4" t="s">
        <v>60</v>
      </c>
      <c r="H8" s="3">
        <v>150</v>
      </c>
      <c r="I8" s="5">
        <v>202.5</v>
      </c>
      <c r="J8" s="1" t="s">
        <v>67</v>
      </c>
      <c r="K8" s="9">
        <v>5170000000</v>
      </c>
      <c r="L8" s="4" t="s">
        <v>72</v>
      </c>
      <c r="M8" s="10">
        <v>2.1230044260400001E+19</v>
      </c>
      <c r="N8" s="7">
        <v>46149</v>
      </c>
      <c r="O8" s="7">
        <v>46265</v>
      </c>
      <c r="P8" s="11">
        <v>2326500</v>
      </c>
      <c r="Q8" s="6" t="s">
        <v>83</v>
      </c>
      <c r="R8" s="8" t="str">
        <f t="shared" ca="1" si="0"/>
        <v>Renewal</v>
      </c>
    </row>
    <row r="9" spans="1:18" ht="52.8" customHeight="1">
      <c r="B9" s="3" t="s">
        <v>29</v>
      </c>
      <c r="C9" s="3" t="s">
        <v>50</v>
      </c>
      <c r="D9" s="3" t="s">
        <v>37</v>
      </c>
      <c r="E9" s="3" t="s">
        <v>20</v>
      </c>
      <c r="F9" s="3" t="s">
        <v>18</v>
      </c>
      <c r="G9" s="4" t="s">
        <v>60</v>
      </c>
      <c r="H9" s="3">
        <v>150</v>
      </c>
      <c r="I9" s="5">
        <v>202.5</v>
      </c>
      <c r="J9" s="6"/>
      <c r="K9" s="6"/>
      <c r="L9" s="6"/>
      <c r="M9" s="10">
        <v>2.1230044260400001E+19</v>
      </c>
      <c r="N9" s="7">
        <v>46149</v>
      </c>
      <c r="O9" s="7">
        <v>46295</v>
      </c>
      <c r="P9" s="11">
        <v>3554382</v>
      </c>
      <c r="Q9" s="6" t="s">
        <v>82</v>
      </c>
      <c r="R9" s="8" t="str">
        <f t="shared" ca="1" si="0"/>
        <v>Live</v>
      </c>
    </row>
    <row r="10" spans="1:18" ht="52.8" customHeight="1">
      <c r="B10" s="3" t="s">
        <v>29</v>
      </c>
      <c r="C10" s="3" t="s">
        <v>50</v>
      </c>
      <c r="D10" s="3" t="s">
        <v>39</v>
      </c>
      <c r="E10" s="3" t="s">
        <v>20</v>
      </c>
      <c r="F10" s="3" t="s">
        <v>18</v>
      </c>
      <c r="G10" s="4" t="s">
        <v>60</v>
      </c>
      <c r="H10" s="3">
        <v>125</v>
      </c>
      <c r="I10" s="5">
        <v>168.75</v>
      </c>
      <c r="J10" s="6" t="s">
        <v>67</v>
      </c>
      <c r="K10" s="9">
        <v>4310000000</v>
      </c>
      <c r="L10" s="4" t="s">
        <v>72</v>
      </c>
      <c r="M10" s="10">
        <v>2.1230044260400001E+19</v>
      </c>
      <c r="N10" s="7">
        <v>46149</v>
      </c>
      <c r="O10" s="7">
        <v>46295</v>
      </c>
      <c r="P10" s="11">
        <v>2262750</v>
      </c>
      <c r="Q10" s="6" t="s">
        <v>82</v>
      </c>
      <c r="R10" s="8" t="str">
        <f t="shared" ca="1" si="0"/>
        <v>Live</v>
      </c>
    </row>
    <row r="11" spans="1:18" ht="52.8" customHeight="1">
      <c r="A11" s="16"/>
      <c r="B11" s="17" t="s">
        <v>31</v>
      </c>
      <c r="C11" s="3" t="s">
        <v>52</v>
      </c>
      <c r="D11" s="3" t="s">
        <v>40</v>
      </c>
      <c r="E11" s="3" t="s">
        <v>20</v>
      </c>
      <c r="F11" s="3" t="s">
        <v>21</v>
      </c>
      <c r="G11" s="4" t="s">
        <v>22</v>
      </c>
      <c r="H11" s="3">
        <v>250</v>
      </c>
      <c r="I11" s="5">
        <v>337.5</v>
      </c>
      <c r="J11" s="6"/>
      <c r="K11" s="6"/>
      <c r="L11" s="6"/>
      <c r="M11" s="6"/>
      <c r="N11" s="7">
        <v>46149</v>
      </c>
      <c r="O11" s="7">
        <v>46356</v>
      </c>
      <c r="P11" s="6">
        <v>5818538</v>
      </c>
      <c r="Q11" s="6"/>
      <c r="R11" s="8" t="str">
        <f t="shared" ca="1" si="0"/>
        <v>Live</v>
      </c>
    </row>
    <row r="12" spans="1:18" ht="52.8" customHeight="1">
      <c r="B12" s="3" t="s">
        <v>31</v>
      </c>
      <c r="C12" s="3" t="s">
        <v>53</v>
      </c>
      <c r="D12" s="3" t="s">
        <v>40</v>
      </c>
      <c r="E12" s="3" t="s">
        <v>20</v>
      </c>
      <c r="F12" s="3" t="s">
        <v>21</v>
      </c>
      <c r="G12" s="4" t="s">
        <v>62</v>
      </c>
      <c r="H12" s="3">
        <v>250</v>
      </c>
      <c r="I12" s="5">
        <v>337.5</v>
      </c>
      <c r="J12" s="6"/>
      <c r="K12" s="6"/>
      <c r="L12" s="6"/>
      <c r="M12" s="6"/>
      <c r="N12" s="7">
        <v>46149</v>
      </c>
      <c r="O12" s="7">
        <v>46295</v>
      </c>
      <c r="P12" s="11">
        <v>31830750</v>
      </c>
      <c r="Q12" s="6"/>
      <c r="R12" s="8" t="str">
        <f t="shared" ca="1" si="0"/>
        <v>Live</v>
      </c>
    </row>
    <row r="13" spans="1:18" ht="52.8" customHeight="1">
      <c r="B13" s="3" t="s">
        <v>32</v>
      </c>
      <c r="C13" s="3" t="s">
        <v>54</v>
      </c>
      <c r="D13" s="3" t="s">
        <v>41</v>
      </c>
      <c r="E13" s="3" t="s">
        <v>20</v>
      </c>
      <c r="F13" s="3" t="s">
        <v>21</v>
      </c>
      <c r="G13" s="4" t="s">
        <v>63</v>
      </c>
      <c r="H13" s="3">
        <v>300</v>
      </c>
      <c r="I13" s="5" t="s">
        <v>70</v>
      </c>
      <c r="J13" s="6" t="s">
        <v>67</v>
      </c>
      <c r="K13" s="9">
        <f>947.2*10000000</f>
        <v>9472000000</v>
      </c>
      <c r="L13" s="4" t="s">
        <v>72</v>
      </c>
      <c r="M13" s="6"/>
      <c r="N13" s="7">
        <v>46113</v>
      </c>
      <c r="O13" s="7">
        <v>46387</v>
      </c>
      <c r="P13" s="11">
        <v>7544672</v>
      </c>
      <c r="Q13" s="6"/>
      <c r="R13" s="8" t="str">
        <f t="shared" ca="1" si="0"/>
        <v>Live</v>
      </c>
    </row>
    <row r="14" spans="1:18" ht="52.8" customHeight="1">
      <c r="B14" s="3" t="s">
        <v>32</v>
      </c>
      <c r="C14" s="3" t="s">
        <v>54</v>
      </c>
      <c r="D14" s="3" t="s">
        <v>41</v>
      </c>
      <c r="E14" s="3" t="s">
        <v>20</v>
      </c>
      <c r="F14" s="3" t="s">
        <v>21</v>
      </c>
      <c r="G14" s="4" t="s">
        <v>64</v>
      </c>
      <c r="H14" s="3">
        <v>300</v>
      </c>
      <c r="I14" s="5">
        <v>408.00000000000006</v>
      </c>
      <c r="J14" s="6" t="s">
        <v>67</v>
      </c>
      <c r="K14" s="9">
        <f>947.2*10000000</f>
        <v>9472000000</v>
      </c>
      <c r="L14" s="4" t="s">
        <v>72</v>
      </c>
      <c r="M14" s="6"/>
      <c r="N14" s="7">
        <v>46113</v>
      </c>
      <c r="O14" s="7">
        <v>46387</v>
      </c>
      <c r="P14" s="11">
        <v>7544672</v>
      </c>
      <c r="Q14" s="6"/>
      <c r="R14" s="8" t="str">
        <f t="shared" ca="1" si="0"/>
        <v>Live</v>
      </c>
    </row>
    <row r="15" spans="1:18" ht="52.8" customHeight="1">
      <c r="B15" s="3" t="s">
        <v>29</v>
      </c>
      <c r="C15" s="3" t="s">
        <v>50</v>
      </c>
      <c r="D15" s="3" t="s">
        <v>42</v>
      </c>
      <c r="E15" s="3" t="s">
        <v>20</v>
      </c>
      <c r="F15" s="3" t="s">
        <v>18</v>
      </c>
      <c r="G15" s="4" t="s">
        <v>61</v>
      </c>
      <c r="H15" s="3">
        <v>400</v>
      </c>
      <c r="I15" s="5">
        <v>540</v>
      </c>
      <c r="J15" s="6" t="s">
        <v>67</v>
      </c>
      <c r="K15" s="9">
        <v>14920000000</v>
      </c>
      <c r="L15" s="4" t="s">
        <v>72</v>
      </c>
      <c r="M15" s="10">
        <v>2.1230044260400001E+19</v>
      </c>
      <c r="N15" s="7">
        <v>46149</v>
      </c>
      <c r="O15" s="7">
        <v>46477</v>
      </c>
      <c r="P15" s="11">
        <v>16785000</v>
      </c>
      <c r="Q15" s="6"/>
      <c r="R15" s="8" t="str">
        <f t="shared" ca="1" si="0"/>
        <v>Live</v>
      </c>
    </row>
    <row r="16" spans="1:18" ht="52.8" customHeight="1">
      <c r="B16" s="3" t="s">
        <v>29</v>
      </c>
      <c r="C16" s="3" t="s">
        <v>50</v>
      </c>
      <c r="D16" s="3" t="s">
        <v>43</v>
      </c>
      <c r="E16" s="3" t="s">
        <v>20</v>
      </c>
      <c r="F16" s="3" t="s">
        <v>18</v>
      </c>
      <c r="G16" s="4" t="s">
        <v>65</v>
      </c>
      <c r="H16" s="3">
        <v>175</v>
      </c>
      <c r="I16" s="5">
        <v>236.25000000000003</v>
      </c>
      <c r="J16" s="6" t="s">
        <v>67</v>
      </c>
      <c r="K16" s="9">
        <f>757*10000000</f>
        <v>7570000000</v>
      </c>
      <c r="L16" s="4" t="s">
        <v>72</v>
      </c>
      <c r="M16" s="6"/>
      <c r="N16" s="7">
        <v>46149</v>
      </c>
      <c r="O16" s="7">
        <v>46446</v>
      </c>
      <c r="P16" s="11">
        <v>9379230</v>
      </c>
      <c r="Q16" s="6"/>
      <c r="R16" s="8" t="str">
        <f t="shared" ca="1" si="0"/>
        <v>Live</v>
      </c>
    </row>
    <row r="17" spans="2:18" ht="52.8" customHeight="1">
      <c r="B17" s="17" t="s">
        <v>33</v>
      </c>
      <c r="C17" s="3" t="s">
        <v>55</v>
      </c>
      <c r="D17" s="3" t="s">
        <v>44</v>
      </c>
      <c r="E17" s="3" t="s">
        <v>20</v>
      </c>
      <c r="F17" s="3" t="s">
        <v>58</v>
      </c>
      <c r="G17" s="4" t="s">
        <v>64</v>
      </c>
      <c r="H17" s="3">
        <v>234</v>
      </c>
      <c r="I17" s="5">
        <v>318.24</v>
      </c>
      <c r="J17" s="6"/>
      <c r="K17" s="6"/>
      <c r="L17" s="6"/>
      <c r="M17" s="6"/>
      <c r="N17" s="7">
        <v>46149</v>
      </c>
      <c r="O17" s="7">
        <v>46446</v>
      </c>
      <c r="P17" s="11">
        <v>7952911</v>
      </c>
      <c r="Q17" s="6"/>
      <c r="R17" s="8" t="str">
        <f t="shared" ca="1" si="0"/>
        <v>Live</v>
      </c>
    </row>
    <row r="18" spans="2:18" ht="52.8" customHeight="1">
      <c r="B18" s="3" t="s">
        <v>29</v>
      </c>
      <c r="C18" s="3" t="s">
        <v>50</v>
      </c>
      <c r="D18" s="3" t="s">
        <v>45</v>
      </c>
      <c r="E18" s="3" t="s">
        <v>20</v>
      </c>
      <c r="F18" s="3" t="s">
        <v>18</v>
      </c>
      <c r="G18" s="4" t="s">
        <v>65</v>
      </c>
      <c r="H18" s="3">
        <v>100</v>
      </c>
      <c r="I18" s="5">
        <v>135</v>
      </c>
      <c r="J18" s="6" t="s">
        <v>67</v>
      </c>
      <c r="K18" s="9">
        <v>10970000000</v>
      </c>
      <c r="L18" s="4" t="s">
        <v>72</v>
      </c>
      <c r="M18" s="10">
        <v>2.1230044260400001E+19</v>
      </c>
      <c r="N18" s="7">
        <v>46149</v>
      </c>
      <c r="O18" s="7">
        <v>46446</v>
      </c>
      <c r="P18" s="11">
        <v>11518501</v>
      </c>
      <c r="Q18" s="6"/>
      <c r="R18" s="8" t="str">
        <f t="shared" ca="1" si="0"/>
        <v>Live</v>
      </c>
    </row>
    <row r="19" spans="2:18" ht="52.8" customHeight="1">
      <c r="B19" s="3" t="s">
        <v>34</v>
      </c>
      <c r="C19" s="3" t="s">
        <v>50</v>
      </c>
      <c r="D19" s="3" t="s">
        <v>43</v>
      </c>
      <c r="E19" s="3" t="s">
        <v>20</v>
      </c>
      <c r="F19" s="3" t="s">
        <v>18</v>
      </c>
      <c r="G19" s="4" t="s">
        <v>65</v>
      </c>
      <c r="H19" s="3">
        <v>50</v>
      </c>
      <c r="I19" s="5">
        <v>67.5</v>
      </c>
      <c r="J19" s="6" t="s">
        <v>67</v>
      </c>
      <c r="K19" s="9">
        <f>757*10000000</f>
        <v>7570000000</v>
      </c>
      <c r="L19" s="4" t="s">
        <v>72</v>
      </c>
      <c r="M19" s="6"/>
      <c r="N19" s="7">
        <v>46149</v>
      </c>
      <c r="O19" s="7">
        <v>46446</v>
      </c>
      <c r="P19" s="11">
        <v>9379231</v>
      </c>
      <c r="Q19" s="6"/>
      <c r="R19" s="8" t="str">
        <f t="shared" ca="1" si="0"/>
        <v>Live</v>
      </c>
    </row>
    <row r="20" spans="2:18" ht="52.8" customHeight="1">
      <c r="B20" s="3" t="s">
        <v>35</v>
      </c>
      <c r="C20" s="12" t="s">
        <v>56</v>
      </c>
      <c r="D20" s="3" t="s">
        <v>46</v>
      </c>
      <c r="E20" s="12" t="s">
        <v>17</v>
      </c>
      <c r="F20" s="12" t="s">
        <v>59</v>
      </c>
      <c r="G20" s="13" t="s">
        <v>22</v>
      </c>
      <c r="H20" s="12">
        <v>150</v>
      </c>
      <c r="I20" s="5">
        <v>202.5</v>
      </c>
      <c r="J20" s="6" t="s">
        <v>67</v>
      </c>
      <c r="K20" s="9">
        <v>5220000000</v>
      </c>
      <c r="L20" s="4" t="s">
        <v>72</v>
      </c>
      <c r="M20" s="10">
        <v>2.1230044260400001E+19</v>
      </c>
      <c r="N20" s="7">
        <v>46175</v>
      </c>
      <c r="O20" s="7">
        <v>46477</v>
      </c>
      <c r="P20" s="11">
        <v>5872500</v>
      </c>
      <c r="Q20" s="6"/>
      <c r="R20" s="8" t="str">
        <f t="shared" ca="1" si="0"/>
        <v>Live</v>
      </c>
    </row>
    <row r="21" spans="2:18" ht="52.8" customHeight="1">
      <c r="B21" s="3" t="s">
        <v>34</v>
      </c>
      <c r="C21" s="3" t="s">
        <v>50</v>
      </c>
      <c r="D21" s="3" t="s">
        <v>45</v>
      </c>
      <c r="E21" s="3" t="s">
        <v>20</v>
      </c>
      <c r="F21" s="3" t="s">
        <v>18</v>
      </c>
      <c r="G21" s="4" t="s">
        <v>65</v>
      </c>
      <c r="H21" s="3">
        <v>200</v>
      </c>
      <c r="I21" s="5">
        <v>270</v>
      </c>
      <c r="J21" s="6" t="s">
        <v>67</v>
      </c>
      <c r="K21" s="9">
        <v>10970000000</v>
      </c>
      <c r="L21" s="4" t="s">
        <v>72</v>
      </c>
      <c r="M21" s="10">
        <v>2.1230044260400001E+19</v>
      </c>
      <c r="N21" s="7">
        <v>46149</v>
      </c>
      <c r="O21" s="7">
        <v>46446</v>
      </c>
      <c r="P21" s="11">
        <v>11518501</v>
      </c>
      <c r="Q21" s="6"/>
      <c r="R21" s="8" t="str">
        <f t="shared" ca="1" si="0"/>
        <v>Live</v>
      </c>
    </row>
    <row r="22" spans="2:18" ht="52.8" customHeight="1">
      <c r="B22" s="3" t="s">
        <v>34</v>
      </c>
      <c r="C22" s="3" t="s">
        <v>50</v>
      </c>
      <c r="D22" s="3" t="s">
        <v>47</v>
      </c>
      <c r="E22" s="3" t="s">
        <v>20</v>
      </c>
      <c r="F22" s="3" t="s">
        <v>18</v>
      </c>
      <c r="G22" s="4" t="s">
        <v>61</v>
      </c>
      <c r="H22" s="3">
        <v>600</v>
      </c>
      <c r="I22" s="5">
        <v>810</v>
      </c>
      <c r="J22" s="6" t="s">
        <v>67</v>
      </c>
      <c r="K22" s="9">
        <v>23960000000</v>
      </c>
      <c r="L22" s="4" t="s">
        <v>72</v>
      </c>
      <c r="M22" s="10">
        <v>2.1230044260400001E+19</v>
      </c>
      <c r="N22" s="7">
        <v>46149</v>
      </c>
      <c r="O22" s="7">
        <v>46477</v>
      </c>
      <c r="P22" s="11">
        <v>26955000</v>
      </c>
      <c r="Q22" s="6"/>
      <c r="R22" s="8" t="str">
        <f t="shared" ca="1" si="0"/>
        <v>Live</v>
      </c>
    </row>
    <row r="23" spans="2:18" ht="52.8" customHeight="1">
      <c r="B23" s="3" t="s">
        <v>36</v>
      </c>
      <c r="C23" s="3" t="s">
        <v>50</v>
      </c>
      <c r="D23" s="3" t="s">
        <v>48</v>
      </c>
      <c r="E23" s="3" t="s">
        <v>20</v>
      </c>
      <c r="F23" s="3" t="s">
        <v>18</v>
      </c>
      <c r="G23" s="4" t="s">
        <v>65</v>
      </c>
      <c r="H23" s="3">
        <v>112.5</v>
      </c>
      <c r="I23" s="5">
        <v>151.875</v>
      </c>
      <c r="J23" s="6" t="s">
        <v>67</v>
      </c>
      <c r="K23" s="9">
        <v>4160000000</v>
      </c>
      <c r="L23" s="4" t="s">
        <v>72</v>
      </c>
      <c r="M23" s="10">
        <v>2.1230044260400001E+19</v>
      </c>
      <c r="N23" s="7">
        <v>46149</v>
      </c>
      <c r="O23" s="7">
        <v>46446</v>
      </c>
      <c r="P23" s="11">
        <v>4368001</v>
      </c>
      <c r="Q23" s="6"/>
      <c r="R23" s="8" t="str">
        <f t="shared" ca="1" si="0"/>
        <v>Live</v>
      </c>
    </row>
    <row r="24" spans="2:18" ht="52.8" customHeight="1">
      <c r="B24" s="3" t="s">
        <v>35</v>
      </c>
      <c r="C24" s="3" t="s">
        <v>57</v>
      </c>
      <c r="D24" s="3" t="s">
        <v>45</v>
      </c>
      <c r="E24" s="3" t="s">
        <v>17</v>
      </c>
      <c r="F24" s="3" t="s">
        <v>59</v>
      </c>
      <c r="G24" s="4" t="s">
        <v>65</v>
      </c>
      <c r="H24" s="3">
        <v>75</v>
      </c>
      <c r="I24" s="5">
        <v>101.25</v>
      </c>
      <c r="J24" s="6" t="s">
        <v>67</v>
      </c>
      <c r="K24" s="9">
        <f>274*10000000</f>
        <v>2740000000</v>
      </c>
      <c r="L24" s="4" t="s">
        <v>72</v>
      </c>
      <c r="M24" s="6"/>
      <c r="N24" s="7">
        <v>46113</v>
      </c>
      <c r="O24" s="6"/>
      <c r="P24" s="11">
        <v>3637350</v>
      </c>
      <c r="Q24" s="6"/>
      <c r="R24" s="8" t="str">
        <f t="shared" ca="1" si="0"/>
        <v>Renewal</v>
      </c>
    </row>
    <row r="25" spans="2:18" ht="52.8" customHeight="1">
      <c r="B25" s="3" t="s">
        <v>36</v>
      </c>
      <c r="C25" s="3" t="s">
        <v>50</v>
      </c>
      <c r="D25" s="3" t="s">
        <v>49</v>
      </c>
      <c r="E25" s="3" t="s">
        <v>20</v>
      </c>
      <c r="F25" s="3" t="s">
        <v>18</v>
      </c>
      <c r="G25" s="4" t="s">
        <v>65</v>
      </c>
      <c r="H25" s="3">
        <v>287.5</v>
      </c>
      <c r="I25" s="5">
        <f>H25*1.35</f>
        <v>388.125</v>
      </c>
      <c r="J25" s="6"/>
      <c r="K25" s="6"/>
      <c r="L25" s="6"/>
      <c r="M25" s="6"/>
      <c r="N25" s="7">
        <v>46149</v>
      </c>
      <c r="O25" s="7">
        <v>46477</v>
      </c>
      <c r="P25" s="11">
        <v>15812297</v>
      </c>
      <c r="Q25" s="6"/>
      <c r="R25" s="8" t="str">
        <f t="shared" ca="1" si="0"/>
        <v>Live</v>
      </c>
    </row>
  </sheetData>
  <autoFilter ref="B2:R25" xr:uid="{00000000-0001-0000-0000-000000000000}"/>
  <conditionalFormatting sqref="R3:R25">
    <cfRule type="cellIs" dxfId="1" priority="1" operator="equal">
      <formula>"Live"</formula>
    </cfRule>
    <cfRule type="containsText" dxfId="0" priority="2" operator="containsText" text="Renewal">
      <formula>NOT(ISERROR(SEARCH("Renewal",R3)))</formula>
    </cfRule>
  </conditionalFormatting>
  <pageMargins left="0.7" right="0.7" top="0.75" bottom="0.75" header="0.3" footer="0.3"/>
  <pageSetup paperSize="8" scale="57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B8D1F-703C-44B7-8AED-513193307882}">
  <dimension ref="D3:L8"/>
  <sheetViews>
    <sheetView topLeftCell="B1" workbookViewId="0">
      <selection activeCell="E16" sqref="E16"/>
    </sheetView>
  </sheetViews>
  <sheetFormatPr defaultRowHeight="14.4"/>
  <cols>
    <col min="4" max="4" width="29.88671875" bestFit="1" customWidth="1"/>
    <col min="5" max="12" width="17.6640625" customWidth="1"/>
  </cols>
  <sheetData>
    <row r="3" spans="4:12">
      <c r="D3" s="18" t="s">
        <v>0</v>
      </c>
      <c r="E3" s="18" t="s">
        <v>1</v>
      </c>
      <c r="F3" s="18" t="s">
        <v>73</v>
      </c>
      <c r="G3" s="18" t="s">
        <v>74</v>
      </c>
      <c r="H3" s="18" t="s">
        <v>75</v>
      </c>
      <c r="I3" s="18" t="s">
        <v>76</v>
      </c>
      <c r="J3" s="19" t="s">
        <v>77</v>
      </c>
      <c r="K3" s="19" t="s">
        <v>25</v>
      </c>
      <c r="L3" s="19" t="s">
        <v>78</v>
      </c>
    </row>
    <row r="4" spans="4:12" ht="66">
      <c r="D4" s="20" t="s">
        <v>8</v>
      </c>
      <c r="E4" s="21" t="s">
        <v>11</v>
      </c>
      <c r="F4" s="21" t="s">
        <v>14</v>
      </c>
      <c r="G4" s="21">
        <v>25</v>
      </c>
      <c r="H4" s="21">
        <v>34</v>
      </c>
      <c r="I4" s="21" t="s">
        <v>81</v>
      </c>
      <c r="J4" s="22">
        <v>46295</v>
      </c>
      <c r="K4" s="23" t="s">
        <v>79</v>
      </c>
      <c r="L4" s="24" t="s">
        <v>80</v>
      </c>
    </row>
    <row r="5" spans="4:12" ht="66">
      <c r="D5" s="20" t="s">
        <v>9</v>
      </c>
      <c r="E5" s="21" t="s">
        <v>12</v>
      </c>
      <c r="F5" s="21" t="s">
        <v>15</v>
      </c>
      <c r="G5" s="21">
        <v>25</v>
      </c>
      <c r="H5" s="21">
        <v>34</v>
      </c>
      <c r="I5" s="21" t="s">
        <v>81</v>
      </c>
      <c r="J5" s="22">
        <v>46295</v>
      </c>
      <c r="K5" s="23" t="s">
        <v>79</v>
      </c>
      <c r="L5" s="24" t="s">
        <v>80</v>
      </c>
    </row>
    <row r="6" spans="4:12" ht="66">
      <c r="D6" s="20" t="s">
        <v>10</v>
      </c>
      <c r="E6" s="21" t="s">
        <v>13</v>
      </c>
      <c r="F6" s="21" t="s">
        <v>16</v>
      </c>
      <c r="G6" s="21">
        <v>25</v>
      </c>
      <c r="H6" s="21">
        <v>34</v>
      </c>
      <c r="I6" s="21" t="s">
        <v>81</v>
      </c>
      <c r="J6" s="22">
        <v>46295</v>
      </c>
      <c r="K6" s="23" t="s">
        <v>79</v>
      </c>
      <c r="L6" s="24" t="s">
        <v>80</v>
      </c>
    </row>
    <row r="7" spans="4:12" ht="66">
      <c r="D7" s="20" t="s">
        <v>10</v>
      </c>
      <c r="E7" s="21" t="s">
        <v>13</v>
      </c>
      <c r="F7" s="21" t="s">
        <v>37</v>
      </c>
      <c r="G7" s="21">
        <v>50</v>
      </c>
      <c r="H7" s="25">
        <v>67.5</v>
      </c>
      <c r="I7" s="21" t="s">
        <v>81</v>
      </c>
      <c r="J7" s="22">
        <v>46295</v>
      </c>
      <c r="K7" s="23" t="s">
        <v>79</v>
      </c>
      <c r="L7" s="24" t="s">
        <v>80</v>
      </c>
    </row>
    <row r="8" spans="4:12" ht="66">
      <c r="D8" s="26" t="s">
        <v>29</v>
      </c>
      <c r="E8" s="26" t="s">
        <v>50</v>
      </c>
      <c r="F8" s="21" t="s">
        <v>38</v>
      </c>
      <c r="G8" s="21">
        <v>50</v>
      </c>
      <c r="H8" s="25">
        <v>67.5</v>
      </c>
      <c r="I8" s="21" t="s">
        <v>81</v>
      </c>
      <c r="J8" s="22">
        <v>46295</v>
      </c>
      <c r="K8" s="23" t="s">
        <v>79</v>
      </c>
      <c r="L8" s="24" t="s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17B0D-8A11-43DF-A646-B3F06EC6FA8A}">
  <dimension ref="A1"/>
  <sheetViews>
    <sheetView workbookViewId="0"/>
  </sheetViews>
  <sheetFormatPr defaultRowHeight="14.4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4aa576f-66ae-4d26-8478-3aa5f5956607">
      <Terms xmlns="http://schemas.microsoft.com/office/infopath/2007/PartnerControls"/>
    </lcf76f155ced4ddcb4097134ff3c332f>
    <TaxCatchAll xmlns="0c661c39-5e25-4bcc-8dfb-b53192fbbef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77E31D6ECB15E46BF15A461A410D022" ma:contentTypeVersion="10" ma:contentTypeDescription="Create a new document." ma:contentTypeScope="" ma:versionID="1032708551856ba6ebce288daacfa8c5">
  <xsd:schema xmlns:xsd="http://www.w3.org/2001/XMLSchema" xmlns:xs="http://www.w3.org/2001/XMLSchema" xmlns:p="http://schemas.microsoft.com/office/2006/metadata/properties" xmlns:ns2="14aa576f-66ae-4d26-8478-3aa5f5956607" xmlns:ns3="0c661c39-5e25-4bcc-8dfb-b53192fbbeff" targetNamespace="http://schemas.microsoft.com/office/2006/metadata/properties" ma:root="true" ma:fieldsID="582b900425d826bc4bb2818cf42d5355" ns2:_="" ns3:_="">
    <xsd:import namespace="14aa576f-66ae-4d26-8478-3aa5f5956607"/>
    <xsd:import namespace="0c661c39-5e25-4bcc-8dfb-b53192fbbe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aa576f-66ae-4d26-8478-3aa5f59566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b514443-b7a3-4086-9c59-89a49c0c910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661c39-5e25-4bcc-8dfb-b53192fbbef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a4a445-c063-455c-88b5-4bf2d28c0c66}" ma:internalName="TaxCatchAll" ma:showField="CatchAllData" ma:web="0c661c39-5e25-4bcc-8dfb-b53192fbbe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4BA3243-8478-4923-8795-7BF79C0E483C}">
  <ds:schemaRefs>
    <ds:schemaRef ds:uri="http://schemas.microsoft.com/office/2006/metadata/properties"/>
    <ds:schemaRef ds:uri="http://schemas.microsoft.com/office/infopath/2007/PartnerControls"/>
    <ds:schemaRef ds:uri="14aa576f-66ae-4d26-8478-3aa5f5956607"/>
    <ds:schemaRef ds:uri="0c661c39-5e25-4bcc-8dfb-b53192fbbeff"/>
  </ds:schemaRefs>
</ds:datastoreItem>
</file>

<file path=customXml/itemProps2.xml><?xml version="1.0" encoding="utf-8"?>
<ds:datastoreItem xmlns:ds="http://schemas.openxmlformats.org/officeDocument/2006/customXml" ds:itemID="{2B564BAE-9086-40D6-A00F-9963F55CA75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3365BC1-9F96-48A0-BCC7-2899D966EA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4aa576f-66ae-4d26-8478-3aa5f5956607"/>
    <ds:schemaRef ds:uri="0c661c39-5e25-4bcc-8dfb-b53192fbbef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 Sheet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Pandya</dc:creator>
  <cp:lastModifiedBy>Shivam Pandya</cp:lastModifiedBy>
  <cp:lastPrinted>2026-06-29T09:44:47Z</cp:lastPrinted>
  <dcterms:created xsi:type="dcterms:W3CDTF">2015-06-05T18:17:20Z</dcterms:created>
  <dcterms:modified xsi:type="dcterms:W3CDTF">2026-08-03T05:10:34Z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0x010100277E31D6ECB15E46BF15A461A410D022</vt:lpwstr>
  </property>
  <property fmtid="{D5CDD505-2E9C-101B-9397-08002B2CF9AE}" pid="3" name="MediaServiceImageTags">
    <vt:lpwstr/>
  </property>
</Properties>
</file>